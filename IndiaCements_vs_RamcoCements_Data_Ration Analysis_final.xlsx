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\Downloads\"/>
    </mc:Choice>
  </mc:AlternateContent>
  <xr:revisionPtr revIDLastSave="0" documentId="8_{7981F089-B012-4373-AC42-CDA0503774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8" i="1" l="1"/>
  <c r="C81" i="1"/>
  <c r="G49" i="1"/>
  <c r="H49" i="1"/>
  <c r="F49" i="1"/>
  <c r="D49" i="1"/>
  <c r="E49" i="1"/>
  <c r="C49" i="1"/>
  <c r="G48" i="1"/>
  <c r="H48" i="1"/>
  <c r="F48" i="1"/>
  <c r="D48" i="1"/>
  <c r="E48" i="1"/>
  <c r="C48" i="1"/>
  <c r="C30" i="1"/>
  <c r="F30" i="1"/>
  <c r="G88" i="1"/>
  <c r="H88" i="1"/>
  <c r="F88" i="1"/>
  <c r="D88" i="1"/>
  <c r="E88" i="1"/>
  <c r="G81" i="1"/>
  <c r="H81" i="1"/>
  <c r="F81" i="1"/>
  <c r="D81" i="1"/>
  <c r="E81" i="1"/>
  <c r="G72" i="1"/>
  <c r="G73" i="1" s="1"/>
  <c r="H72" i="1"/>
  <c r="H73" i="1" s="1"/>
  <c r="F72" i="1"/>
  <c r="F73" i="1" s="1"/>
  <c r="D72" i="1"/>
  <c r="D73" i="1" s="1"/>
  <c r="E72" i="1"/>
  <c r="E73" i="1" s="1"/>
  <c r="C72" i="1"/>
  <c r="C73" i="1" s="1"/>
  <c r="G65" i="1"/>
  <c r="H65" i="1"/>
  <c r="F65" i="1"/>
  <c r="D65" i="1"/>
  <c r="E65" i="1"/>
  <c r="C65" i="1"/>
  <c r="G58" i="1"/>
  <c r="H58" i="1"/>
  <c r="F58" i="1"/>
  <c r="D58" i="1"/>
  <c r="E58" i="1"/>
  <c r="C58" i="1"/>
  <c r="G42" i="1"/>
  <c r="H42" i="1"/>
  <c r="F42" i="1"/>
  <c r="D42" i="1"/>
  <c r="E42" i="1"/>
  <c r="C42" i="1"/>
  <c r="G36" i="1"/>
  <c r="H36" i="1"/>
  <c r="F36" i="1"/>
  <c r="D36" i="1"/>
  <c r="E36" i="1"/>
  <c r="C36" i="1"/>
  <c r="G30" i="1"/>
  <c r="H30" i="1"/>
  <c r="E30" i="1"/>
  <c r="D30" i="1"/>
</calcChain>
</file>

<file path=xl/sharedStrings.xml><?xml version="1.0" encoding="utf-8"?>
<sst xmlns="http://schemas.openxmlformats.org/spreadsheetml/2006/main" count="185" uniqueCount="52">
  <si>
    <t>Mar-24</t>
  </si>
  <si>
    <t>Mar-25</t>
  </si>
  <si>
    <t>India Cements</t>
  </si>
  <si>
    <t>Ramco Cements</t>
  </si>
  <si>
    <t>Revenue (₹ Cr)</t>
  </si>
  <si>
    <t>Net Profit (₹ Cr)</t>
  </si>
  <si>
    <t>Current Assets (₹ Cr)</t>
  </si>
  <si>
    <t>Inventories (₹ Cr)</t>
  </si>
  <si>
    <t>Cash &amp; Equivalents (₹ Cr)</t>
  </si>
  <si>
    <t>Current Liabilities (₹ Cr)</t>
  </si>
  <si>
    <t>Finance Cost (₹ Cr)</t>
  </si>
  <si>
    <t>PBT (₹ Cr)</t>
  </si>
  <si>
    <t>Equity (₹ Cr)</t>
  </si>
  <si>
    <t>LT Borrowings (₹ Cr)</t>
  </si>
  <si>
    <t>ST Borrowings (₹ Cr)</t>
  </si>
  <si>
    <t>Total Assets (₹ Cr)</t>
  </si>
  <si>
    <t>Quick Ratio (Acid-Test Ratio)</t>
  </si>
  <si>
    <t>Quick Ratio=(Current Assets−Inventories​)/Current Liabilities</t>
  </si>
  <si>
    <t>Cash Ratio</t>
  </si>
  <si>
    <t>Cash Ratio=Cash &amp; Cash Equivalents​/Current Liabilities</t>
  </si>
  <si>
    <t>Operating Ratio</t>
  </si>
  <si>
    <t>Operating Ratio=(Operating Expenses/Net Sales)​×100</t>
  </si>
  <si>
    <t>Net Profit Margin</t>
  </si>
  <si>
    <t>Net Profit Margin=(Net Profit​/Net Sales)×100</t>
  </si>
  <si>
    <t>Return on Equity (ROE)</t>
  </si>
  <si>
    <t>ROE=(Net Profit/Shareholders’ Equity​)×100</t>
  </si>
  <si>
    <t>Debt-to-Equity Ratio</t>
  </si>
  <si>
    <t>Debt-Equity Ratio=Total Debt​/Shareholders’ Equity</t>
  </si>
  <si>
    <t>Interest Coverage Ratio</t>
  </si>
  <si>
    <t>Interest Coverage Ratio=(PBT+Finance Cost​)/Finance Cost</t>
  </si>
  <si>
    <t>Proprietary Ratio</t>
  </si>
  <si>
    <t>Proprietary Ratio=Shareholders’ Equity​/Total Assets</t>
  </si>
  <si>
    <t xml:space="preserve"> </t>
  </si>
  <si>
    <r>
      <t>Current Ratio</t>
    </r>
    <r>
      <rPr>
        <b/>
        <sz val="11"/>
        <color theme="0"/>
        <rFont val="Calibri"/>
        <family val="2"/>
        <scheme val="minor"/>
      </rPr>
      <t xml:space="preserve"> (Liquidity)</t>
    </r>
  </si>
  <si>
    <t>India Cements vs Ramco Cements – Financial Inputs (2023–2025)</t>
  </si>
  <si>
    <t>Year</t>
  </si>
  <si>
    <t>Company</t>
  </si>
  <si>
    <t>Revenue FY 2025 (₹ Cr)</t>
  </si>
  <si>
    <t>Particulars</t>
  </si>
  <si>
    <t>Current Ratio</t>
  </si>
  <si>
    <t>Operating Expenses</t>
  </si>
  <si>
    <t>Operating Ratio %</t>
  </si>
  <si>
    <t>India Cements (%)</t>
  </si>
  <si>
    <t>Ramco Cements (%)</t>
  </si>
  <si>
    <t>Total Debt = LTB + STB</t>
  </si>
  <si>
    <t>Ratio</t>
  </si>
  <si>
    <t>Quick Ratio</t>
  </si>
  <si>
    <t>Operating Ratio (%)</t>
  </si>
  <si>
    <t>Net Profit Margin (%)</t>
  </si>
  <si>
    <t>ROE (%)</t>
  </si>
  <si>
    <t>Debt-Equity Ratio</t>
  </si>
  <si>
    <t>Current Ratio=Current Assets​/Current 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</si>
</sst>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0">
    <xf numFmtId="0" fontId="0" fillId="0" borderId="0" xfId="0"/>
    <xf numFmtId="0" fontId="1" fillId="0" borderId="0" xfId="0" applyFont="1"/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7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7" fontId="7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17" fontId="2" fillId="3" borderId="1" xfId="1" applyNumberFormat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/>
    <xf numFmtId="0" fontId="8" fillId="0" borderId="1" xfId="0" applyFont="1" applyBorder="1" applyAlignment="1">
      <alignment horizontal="center"/>
    </xf>
    <xf numFmtId="17" fontId="1" fillId="0" borderId="1" xfId="0" applyNumberFormat="1" applyFont="1" applyBorder="1" applyAlignment="1">
      <alignment horizontal="center"/>
    </xf>
  </cellXfs>
  <cellStyles count="2">
    <cellStyle name="40% - Accent3" xfId="1" builtinId="3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900"/>
              <a:t>India Cements: Revenue vs Net Profit (2023–2025)</a:t>
            </a:r>
          </a:p>
        </c:rich>
      </c:tx>
      <c:layout>
        <c:manualLayout>
          <c:xMode val="edge"/>
          <c:yMode val="edge"/>
          <c:x val="0.1370277777777777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04006214469828"/>
          <c:y val="0.20710636250854494"/>
          <c:w val="0.62567395219095367"/>
          <c:h val="0.451681899891130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Sheet2!$C$25</c:f>
              <c:strCache>
                <c:ptCount val="1"/>
                <c:pt idx="0">
                  <c:v>Revenue (₹ Cr)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hade val="51000"/>
                    <a:satMod val="130000"/>
                  </a:schemeClr>
                </a:gs>
                <a:gs pos="80000">
                  <a:schemeClr val="accent1">
                    <a:shade val="76000"/>
                    <a:shade val="93000"/>
                    <a:satMod val="130000"/>
                  </a:schemeClr>
                </a:gs>
                <a:gs pos="100000">
                  <a:schemeClr val="accent1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0"/>
              <c:layout>
                <c:manualLayout>
                  <c:x val="0"/>
                  <c:y val="6.042296072507525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DD-4191-9D93-BD5618986816}"/>
                </c:ext>
              </c:extLst>
            </c:dLbl>
            <c:dLbl>
              <c:idx val="1"/>
              <c:layout>
                <c:manualLayout>
                  <c:x val="-6.126356406866763E-17"/>
                  <c:y val="1.20845921450151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DDD-4191-9D93-BD5618986816}"/>
                </c:ext>
              </c:extLst>
            </c:dLbl>
            <c:dLbl>
              <c:idx val="2"/>
              <c:layout>
                <c:manualLayout>
                  <c:x val="-1.2252712813733526E-16"/>
                  <c:y val="1.8126888217522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DD-4191-9D93-BD56189868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Sheet2!$D$24:$F$24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Sheet2!$D$25:$F$25</c:f>
              <c:numCache>
                <c:formatCode>General</c:formatCode>
                <c:ptCount val="3"/>
                <c:pt idx="0">
                  <c:v>5180.6899999999996</c:v>
                </c:pt>
                <c:pt idx="1">
                  <c:v>4784.12</c:v>
                </c:pt>
                <c:pt idx="2">
                  <c:v>4084.92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0-42A4-9DBD-65EF16B8EC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68231183"/>
        <c:axId val="668237423"/>
      </c:barChart>
      <c:lineChart>
        <c:grouping val="standard"/>
        <c:varyColors val="0"/>
        <c:ser>
          <c:idx val="1"/>
          <c:order val="1"/>
          <c:tx>
            <c:strRef>
              <c:f>Sheet2!$C$26</c:f>
              <c:strCache>
                <c:ptCount val="1"/>
                <c:pt idx="0">
                  <c:v>Net Profit (₹ Cr)</c:v>
                </c:pt>
              </c:strCache>
            </c:strRef>
          </c:tx>
          <c:spPr>
            <a:ln w="34925" cap="rnd">
              <a:solidFill>
                <a:schemeClr val="accent1">
                  <a:tint val="77000"/>
                </a:schemeClr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Sheet2!$D$24:$F$24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Sheet2!$D$26:$F$26</c:f>
              <c:numCache>
                <c:formatCode>General</c:formatCode>
                <c:ptCount val="3"/>
                <c:pt idx="0">
                  <c:v>-169.82</c:v>
                </c:pt>
                <c:pt idx="1">
                  <c:v>-215.76</c:v>
                </c:pt>
                <c:pt idx="2">
                  <c:v>-132.16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A0-42A4-9DBD-65EF16B8EC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68239343"/>
        <c:axId val="668232623"/>
      </c:lineChart>
      <c:catAx>
        <c:axId val="668231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>
                    <a:effectLst/>
                  </a:rPr>
                  <a:t>Year</a:t>
                </a:r>
                <a:r>
                  <a:rPr lang="en-IN" sz="900" b="0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6596010027894497"/>
              <c:y val="0.739851127933767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37423"/>
        <c:crosses val="autoZero"/>
        <c:auto val="1"/>
        <c:lblAlgn val="ctr"/>
        <c:lblOffset val="100"/>
        <c:noMultiLvlLbl val="0"/>
      </c:catAx>
      <c:valAx>
        <c:axId val="66823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 (₹ Cr)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31183"/>
        <c:crosses val="autoZero"/>
        <c:crossBetween val="between"/>
      </c:valAx>
      <c:valAx>
        <c:axId val="66823262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1" i="0" u="none" strike="noStrike" baseline="0">
                    <a:effectLst/>
                  </a:rPr>
                  <a:t>Net Profit (₹ Cr)</a:t>
                </a:r>
                <a:r>
                  <a:rPr lang="en-IN" sz="900" b="0" i="0" u="none" strike="noStrike" baseline="0">
                    <a:effectLst/>
                  </a:rPr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39343"/>
        <c:crosses val="max"/>
        <c:crossBetween val="between"/>
      </c:valAx>
      <c:catAx>
        <c:axId val="6682393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823262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184612125278063"/>
          <c:y val="0.82750436742031042"/>
          <c:w val="0.72618755830876591"/>
          <c:h val="0.112286941195455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Revenue FY 2025 (₹ Cr)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108267716535437"/>
          <c:y val="0.19822761738116074"/>
          <c:w val="0.37783486439195096"/>
          <c:h val="0.62972477398658488"/>
        </c:manualLayout>
      </c:layout>
      <c:pieChart>
        <c:varyColors val="1"/>
        <c:ser>
          <c:idx val="0"/>
          <c:order val="0"/>
          <c:tx>
            <c:strRef>
              <c:f>Sheet2!$L$3</c:f>
              <c:strCache>
                <c:ptCount val="1"/>
                <c:pt idx="0">
                  <c:v>Revenue FY 2025 (₹ Cr)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76000"/>
                      <a:shade val="51000"/>
                      <a:satMod val="130000"/>
                    </a:schemeClr>
                  </a:gs>
                  <a:gs pos="80000">
                    <a:schemeClr val="accent1">
                      <a:shade val="76000"/>
                      <a:shade val="93000"/>
                      <a:satMod val="130000"/>
                    </a:schemeClr>
                  </a:gs>
                  <a:gs pos="100000">
                    <a:schemeClr val="accent1">
                      <a:shade val="76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77000"/>
                      <a:shade val="51000"/>
                      <a:satMod val="130000"/>
                    </a:schemeClr>
                  </a:gs>
                  <a:gs pos="80000">
                    <a:schemeClr val="accent1">
                      <a:tint val="77000"/>
                      <a:shade val="93000"/>
                      <a:satMod val="130000"/>
                    </a:schemeClr>
                  </a:gs>
                  <a:gs pos="100000">
                    <a:schemeClr val="accent1">
                      <a:tint val="77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Sheet2!$K$4:$K$5</c:f>
              <c:strCache>
                <c:ptCount val="2"/>
                <c:pt idx="0">
                  <c:v>India Cements</c:v>
                </c:pt>
                <c:pt idx="1">
                  <c:v>Ramco Cements</c:v>
                </c:pt>
              </c:strCache>
            </c:strRef>
          </c:cat>
          <c:val>
            <c:numRef>
              <c:f>Sheet2!$L$4:$L$5</c:f>
              <c:numCache>
                <c:formatCode>General</c:formatCode>
                <c:ptCount val="2"/>
                <c:pt idx="0">
                  <c:v>4084.92</c:v>
                </c:pt>
                <c:pt idx="1">
                  <c:v>8495.1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76-4D2B-AFEE-A193005D2A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/>
              <a:t>Current Ratio Comparison (2023–2025)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022477959485833"/>
          <c:y val="0.19711946602701153"/>
          <c:w val="0.77798984528643322"/>
          <c:h val="0.5258048704176878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Sheet2!$D$33</c:f>
              <c:strCache>
                <c:ptCount val="1"/>
                <c:pt idx="0">
                  <c:v>India Cements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Sheet2!$C$34:$C$36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Sheet2!$D$34:$D$36</c:f>
              <c:numCache>
                <c:formatCode>General</c:formatCode>
                <c:ptCount val="3"/>
                <c:pt idx="0">
                  <c:v>1.21</c:v>
                </c:pt>
                <c:pt idx="1">
                  <c:v>1</c:v>
                </c:pt>
                <c:pt idx="2">
                  <c:v>1.37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B5-43FD-B5C8-8A00C347E51A}"/>
            </c:ext>
          </c:extLst>
        </c:ser>
        <c:ser>
          <c:idx val="2"/>
          <c:order val="1"/>
          <c:tx>
            <c:strRef>
              <c:f>Sheet2!$E$33</c:f>
              <c:strCache>
                <c:ptCount val="1"/>
                <c:pt idx="0">
                  <c:v>Ramco Cements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hade val="51000"/>
                    <a:satMod val="130000"/>
                  </a:schemeClr>
                </a:gs>
                <a:gs pos="80000">
                  <a:schemeClr val="accent1">
                    <a:tint val="65000"/>
                    <a:shade val="93000"/>
                    <a:satMod val="130000"/>
                  </a:schemeClr>
                </a:gs>
                <a:gs pos="100000">
                  <a:schemeClr val="accent1">
                    <a:tint val="6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Sheet2!$C$34:$C$36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Sheet2!$E$34:$E$36</c:f>
              <c:numCache>
                <c:formatCode>General</c:formatCode>
                <c:ptCount val="3"/>
                <c:pt idx="0">
                  <c:v>0.61</c:v>
                </c:pt>
                <c:pt idx="1">
                  <c:v>0.56999999999999995</c:v>
                </c:pt>
                <c:pt idx="2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B5-43FD-B5C8-8A00C347E5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59311"/>
        <c:axId val="10454031"/>
      </c:barChart>
      <c:catAx>
        <c:axId val="1045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4031"/>
        <c:crosses val="autoZero"/>
        <c:auto val="1"/>
        <c:lblAlgn val="ctr"/>
        <c:lblOffset val="100"/>
        <c:noMultiLvlLbl val="0"/>
      </c:catAx>
      <c:valAx>
        <c:axId val="1045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Current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/>
              <a:t>India Cements vs Ramco Cements, across 2023–2025)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Sheet2!$D$40</c:f>
              <c:strCache>
                <c:ptCount val="1"/>
                <c:pt idx="0">
                  <c:v>India Cements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Sheet2!$C$41:$C$43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Sheet2!$D$41:$D$43</c:f>
              <c:numCache>
                <c:formatCode>General</c:formatCode>
                <c:ptCount val="3"/>
                <c:pt idx="0">
                  <c:v>0.94</c:v>
                </c:pt>
                <c:pt idx="1">
                  <c:v>0.77</c:v>
                </c:pt>
                <c:pt idx="2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61-412E-A557-A58FD549C0AC}"/>
            </c:ext>
          </c:extLst>
        </c:ser>
        <c:ser>
          <c:idx val="2"/>
          <c:order val="1"/>
          <c:tx>
            <c:strRef>
              <c:f>Sheet2!$E$40</c:f>
              <c:strCache>
                <c:ptCount val="1"/>
                <c:pt idx="0">
                  <c:v>Ramco Cements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hade val="51000"/>
                    <a:satMod val="130000"/>
                  </a:schemeClr>
                </a:gs>
                <a:gs pos="80000">
                  <a:schemeClr val="accent1">
                    <a:tint val="65000"/>
                    <a:shade val="93000"/>
                    <a:satMod val="130000"/>
                  </a:schemeClr>
                </a:gs>
                <a:gs pos="100000">
                  <a:schemeClr val="accent1">
                    <a:tint val="6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Sheet2!$C$41:$C$43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Sheet2!$E$41:$E$43</c:f>
              <c:numCache>
                <c:formatCode>General</c:formatCode>
                <c:ptCount val="3"/>
                <c:pt idx="0">
                  <c:v>0.32</c:v>
                </c:pt>
                <c:pt idx="1">
                  <c:v>0.32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61-412E-A557-A58FD549C0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81391"/>
        <c:axId val="10479951"/>
      </c:barChart>
      <c:catAx>
        <c:axId val="1048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9951"/>
        <c:crosses val="autoZero"/>
        <c:auto val="1"/>
        <c:lblAlgn val="ctr"/>
        <c:lblOffset val="100"/>
        <c:noMultiLvlLbl val="0"/>
      </c:catAx>
      <c:valAx>
        <c:axId val="1047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Quick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1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/>
              <a:t>Cash Ratio Comparison (2023–2025)</a:t>
            </a:r>
            <a:endParaRPr lang="en-IN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Sheet2!$D$47</c:f>
              <c:strCache>
                <c:ptCount val="1"/>
                <c:pt idx="0">
                  <c:v>India Cements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Sheet2!$C$48:$C$50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Sheet2!$D$48:$D$50</c:f>
              <c:numCache>
                <c:formatCode>General</c:formatCode>
                <c:ptCount val="3"/>
                <c:pt idx="0">
                  <c:v>0.02</c:v>
                </c:pt>
                <c:pt idx="1">
                  <c:v>0.03</c:v>
                </c:pt>
                <c:pt idx="2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D4-4099-B0D8-0207D815408A}"/>
            </c:ext>
          </c:extLst>
        </c:ser>
        <c:ser>
          <c:idx val="2"/>
          <c:order val="1"/>
          <c:tx>
            <c:strRef>
              <c:f>Sheet2!$E$47</c:f>
              <c:strCache>
                <c:ptCount val="1"/>
                <c:pt idx="0">
                  <c:v>Ramco Cements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hade val="51000"/>
                    <a:satMod val="130000"/>
                  </a:schemeClr>
                </a:gs>
                <a:gs pos="80000">
                  <a:schemeClr val="accent1">
                    <a:tint val="65000"/>
                    <a:shade val="93000"/>
                    <a:satMod val="130000"/>
                  </a:schemeClr>
                </a:gs>
                <a:gs pos="100000">
                  <a:schemeClr val="accent1">
                    <a:tint val="6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Sheet2!$C$48:$C$50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Sheet2!$E$48:$E$50</c:f>
              <c:numCache>
                <c:formatCode>General</c:formatCode>
                <c:ptCount val="3"/>
                <c:pt idx="0">
                  <c:v>0.06</c:v>
                </c:pt>
                <c:pt idx="1">
                  <c:v>0.03</c:v>
                </c:pt>
                <c:pt idx="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D4-4099-B0D8-0207D81540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52591"/>
        <c:axId val="10444911"/>
      </c:barChart>
      <c:catAx>
        <c:axId val="10452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4911"/>
        <c:crosses val="autoZero"/>
        <c:auto val="1"/>
        <c:lblAlgn val="ctr"/>
        <c:lblOffset val="100"/>
        <c:noMultiLvlLbl val="0"/>
      </c:catAx>
      <c:valAx>
        <c:axId val="1044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Cash</a:t>
                </a:r>
                <a:r>
                  <a:rPr lang="en-IN" baseline="0"/>
                  <a:t> Ratio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2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900" b="1" i="0" u="none" strike="noStrike" baseline="0"/>
              <a:t>Operating Ratio Comparison (2023–2025)</a:t>
            </a:r>
            <a:endParaRPr lang="en-IN" sz="9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324522465853241"/>
          <c:y val="0.21592361930368459"/>
          <c:w val="0.77520614455770931"/>
          <c:h val="0.511892232983072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Sheet2!$D$55</c:f>
              <c:strCache>
                <c:ptCount val="1"/>
                <c:pt idx="0">
                  <c:v>India Cements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Sheet2!$C$56:$C$58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Sheet2!$D$56:$D$58</c:f>
              <c:numCache>
                <c:formatCode>General</c:formatCode>
                <c:ptCount val="3"/>
                <c:pt idx="0">
                  <c:v>102.63</c:v>
                </c:pt>
                <c:pt idx="1">
                  <c:v>100.41</c:v>
                </c:pt>
                <c:pt idx="2">
                  <c:v>97.68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BC-4D9F-9573-4B28E0F176FD}"/>
            </c:ext>
          </c:extLst>
        </c:ser>
        <c:ser>
          <c:idx val="2"/>
          <c:order val="1"/>
          <c:tx>
            <c:strRef>
              <c:f>Sheet2!$E$55</c:f>
              <c:strCache>
                <c:ptCount val="1"/>
                <c:pt idx="0">
                  <c:v>Ramco Cements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hade val="51000"/>
                    <a:satMod val="130000"/>
                  </a:schemeClr>
                </a:gs>
                <a:gs pos="80000">
                  <a:schemeClr val="accent1">
                    <a:tint val="65000"/>
                    <a:shade val="93000"/>
                    <a:satMod val="130000"/>
                  </a:schemeClr>
                </a:gs>
                <a:gs pos="100000">
                  <a:schemeClr val="accent1">
                    <a:tint val="6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Sheet2!$C$56:$C$58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Sheet2!$E$56:$E$58</c:f>
              <c:numCache>
                <c:formatCode>General</c:formatCode>
                <c:ptCount val="3"/>
                <c:pt idx="0">
                  <c:v>91.18</c:v>
                </c:pt>
                <c:pt idx="1">
                  <c:v>89.71</c:v>
                </c:pt>
                <c:pt idx="2">
                  <c:v>89.12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BC-4D9F-9573-4B28E0F176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20739247"/>
        <c:axId val="2020738287"/>
      </c:barChart>
      <c:catAx>
        <c:axId val="2020739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738287"/>
        <c:crosses val="autoZero"/>
        <c:auto val="1"/>
        <c:lblAlgn val="ctr"/>
        <c:lblOffset val="100"/>
        <c:noMultiLvlLbl val="0"/>
      </c:catAx>
      <c:valAx>
        <c:axId val="202073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Operating</a:t>
                </a:r>
                <a:r>
                  <a:rPr lang="en-IN" baseline="0"/>
                  <a:t> Ratio %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4.0552995391705073E-2"/>
              <c:y val="0.178531468531468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73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6570676540786508"/>
          <c:y val="0.82761647573836661"/>
          <c:w val="0.72283136793331293"/>
          <c:h val="0.119138456749116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900" b="1" i="0" u="none" strike="noStrike" baseline="0"/>
              <a:t>Net Profit Margin Comparison (2023–2025)</a:t>
            </a:r>
            <a:endParaRPr lang="en-IN" sz="900"/>
          </a:p>
        </c:rich>
      </c:tx>
      <c:layout>
        <c:manualLayout>
          <c:xMode val="edge"/>
          <c:yMode val="edge"/>
          <c:x val="0.22525797907281536"/>
          <c:y val="4.31266846361186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24567357037353"/>
          <c:y val="0.14547191035082882"/>
          <c:w val="0.80423868440460999"/>
          <c:h val="0.6934762399983021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Sheet2!$D$65</c:f>
              <c:strCache>
                <c:ptCount val="1"/>
                <c:pt idx="0">
                  <c:v>India Cements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Sheet2!$C$66:$C$68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Sheet2!$D$66:$D$68</c:f>
              <c:numCache>
                <c:formatCode>General</c:formatCode>
                <c:ptCount val="3"/>
                <c:pt idx="0">
                  <c:v>-3.28</c:v>
                </c:pt>
                <c:pt idx="1">
                  <c:v>-4.51</c:v>
                </c:pt>
                <c:pt idx="2">
                  <c:v>-3.23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BF-47C5-8F29-8EF098081ED4}"/>
            </c:ext>
          </c:extLst>
        </c:ser>
        <c:ser>
          <c:idx val="2"/>
          <c:order val="1"/>
          <c:tx>
            <c:strRef>
              <c:f>Sheet2!$E$65</c:f>
              <c:strCache>
                <c:ptCount val="1"/>
                <c:pt idx="0">
                  <c:v>Ramco Cements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hade val="51000"/>
                    <a:satMod val="130000"/>
                  </a:schemeClr>
                </a:gs>
                <a:gs pos="80000">
                  <a:schemeClr val="accent1">
                    <a:tint val="65000"/>
                    <a:shade val="93000"/>
                    <a:satMod val="130000"/>
                  </a:schemeClr>
                </a:gs>
                <a:gs pos="100000">
                  <a:schemeClr val="accent1">
                    <a:tint val="65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Sheet2!$C$66:$C$68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Sheet2!$E$66:$E$68</c:f>
              <c:numCache>
                <c:formatCode>General</c:formatCode>
                <c:ptCount val="3"/>
                <c:pt idx="0">
                  <c:v>4.24</c:v>
                </c:pt>
                <c:pt idx="1">
                  <c:v>4.24</c:v>
                </c:pt>
                <c:pt idx="2">
                  <c:v>4.91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BF-47C5-8F29-8EF098081E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88591"/>
        <c:axId val="10477551"/>
      </c:barChart>
      <c:catAx>
        <c:axId val="1048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7551"/>
        <c:crosses val="autoZero"/>
        <c:auto val="1"/>
        <c:lblAlgn val="ctr"/>
        <c:lblOffset val="100"/>
        <c:noMultiLvlLbl val="0"/>
      </c:catAx>
      <c:valAx>
        <c:axId val="1047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Net</a:t>
                </a:r>
                <a:r>
                  <a:rPr lang="en-IN" baseline="0"/>
                  <a:t> Profit Margin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8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/>
              <a:t>Return on Equity Comparison (2023–2025)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840325527808558"/>
          <c:y val="0.16170759142912011"/>
          <c:w val="0.79059022095677001"/>
          <c:h val="0.630103432192927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Sheet2!$D$77</c:f>
              <c:strCache>
                <c:ptCount val="1"/>
                <c:pt idx="0">
                  <c:v>India Cements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hade val="51000"/>
                    <a:satMod val="130000"/>
                  </a:schemeClr>
                </a:gs>
                <a:gs pos="80000">
                  <a:schemeClr val="accent1">
                    <a:shade val="76000"/>
                    <a:shade val="93000"/>
                    <a:satMod val="130000"/>
                  </a:schemeClr>
                </a:gs>
                <a:gs pos="100000">
                  <a:schemeClr val="accent1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Sheet2!$C$78:$C$80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Sheet2!$D$78:$D$80</c:f>
              <c:numCache>
                <c:formatCode>General</c:formatCode>
                <c:ptCount val="3"/>
                <c:pt idx="0">
                  <c:v>-2.94</c:v>
                </c:pt>
                <c:pt idx="1">
                  <c:v>-3.87</c:v>
                </c:pt>
                <c:pt idx="2">
                  <c:v>-1.3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8-486C-A7C0-8AF436302B49}"/>
            </c:ext>
          </c:extLst>
        </c:ser>
        <c:ser>
          <c:idx val="1"/>
          <c:order val="1"/>
          <c:tx>
            <c:strRef>
              <c:f>Sheet2!$E$77</c:f>
              <c:strCache>
                <c:ptCount val="1"/>
                <c:pt idx="0">
                  <c:v>Ramco Cements (%)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hade val="51000"/>
                    <a:satMod val="130000"/>
                  </a:schemeClr>
                </a:gs>
                <a:gs pos="80000">
                  <a:schemeClr val="accent1">
                    <a:tint val="77000"/>
                    <a:shade val="93000"/>
                    <a:satMod val="130000"/>
                  </a:schemeClr>
                </a:gs>
                <a:gs pos="100000">
                  <a:schemeClr val="accent1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Sheet2!$C$78:$C$80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Sheet2!$E$78:$E$80</c:f>
              <c:numCache>
                <c:formatCode>General</c:formatCode>
                <c:ptCount val="3"/>
                <c:pt idx="0">
                  <c:v>5.01</c:v>
                </c:pt>
                <c:pt idx="1">
                  <c:v>5.46</c:v>
                </c:pt>
                <c:pt idx="2">
                  <c:v>5.61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18-486C-A7C0-8AF436302B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50191"/>
        <c:axId val="10442991"/>
      </c:barChart>
      <c:catAx>
        <c:axId val="1045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2991"/>
        <c:crosses val="autoZero"/>
        <c:auto val="1"/>
        <c:lblAlgn val="ctr"/>
        <c:lblOffset val="100"/>
        <c:noMultiLvlLbl val="0"/>
      </c:catAx>
      <c:valAx>
        <c:axId val="10442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ROE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50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/>
              <a:t>Debt-Equity Ratio Comparison (2023–2025)</a:t>
            </a:r>
            <a:endParaRPr lang="en-IN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Sheet2!$D$86</c:f>
              <c:strCache>
                <c:ptCount val="1"/>
                <c:pt idx="0">
                  <c:v>India Cements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hade val="51000"/>
                    <a:satMod val="130000"/>
                  </a:schemeClr>
                </a:gs>
                <a:gs pos="80000">
                  <a:schemeClr val="accent1">
                    <a:shade val="76000"/>
                    <a:shade val="93000"/>
                    <a:satMod val="130000"/>
                  </a:schemeClr>
                </a:gs>
                <a:gs pos="100000">
                  <a:schemeClr val="accent1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Sheet2!$C$87:$C$89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Sheet2!$D$87:$D$89</c:f>
              <c:numCache>
                <c:formatCode>General</c:formatCode>
                <c:ptCount val="3"/>
                <c:pt idx="0">
                  <c:v>0.51</c:v>
                </c:pt>
                <c:pt idx="1">
                  <c:v>0.47</c:v>
                </c:pt>
                <c:pt idx="2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7-4108-82B1-4E3954CC998B}"/>
            </c:ext>
          </c:extLst>
        </c:ser>
        <c:ser>
          <c:idx val="1"/>
          <c:order val="1"/>
          <c:tx>
            <c:strRef>
              <c:f>Sheet2!$E$86</c:f>
              <c:strCache>
                <c:ptCount val="1"/>
                <c:pt idx="0">
                  <c:v>Ramco Cements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hade val="51000"/>
                    <a:satMod val="130000"/>
                  </a:schemeClr>
                </a:gs>
                <a:gs pos="80000">
                  <a:schemeClr val="accent1">
                    <a:tint val="77000"/>
                    <a:shade val="93000"/>
                    <a:satMod val="130000"/>
                  </a:schemeClr>
                </a:gs>
                <a:gs pos="100000">
                  <a:schemeClr val="accent1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Sheet2!$C$87:$C$89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Sheet2!$E$87:$E$89</c:f>
              <c:numCache>
                <c:formatCode>General</c:formatCode>
                <c:ptCount val="3"/>
                <c:pt idx="0">
                  <c:v>0.65</c:v>
                </c:pt>
                <c:pt idx="1">
                  <c:v>0.68</c:v>
                </c:pt>
                <c:pt idx="2">
                  <c:v>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7-4108-82B1-4E3954CC99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0493391"/>
        <c:axId val="10490511"/>
      </c:barChart>
      <c:catAx>
        <c:axId val="1049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0511"/>
        <c:crosses val="autoZero"/>
        <c:auto val="1"/>
        <c:lblAlgn val="ctr"/>
        <c:lblOffset val="100"/>
        <c:noMultiLvlLbl val="0"/>
      </c:catAx>
      <c:valAx>
        <c:axId val="1049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800" b="0" i="0" u="none" strike="noStrike" baseline="0"/>
                  <a:t>Debt-Equity Ratio</a:t>
                </a:r>
                <a:endParaRPr lang="en-IN" sz="8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3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900"/>
              <a:t>Interest Coverage Ratio Comparison (2023–2025)</a:t>
            </a:r>
          </a:p>
        </c:rich>
      </c:tx>
      <c:layout>
        <c:manualLayout>
          <c:xMode val="edge"/>
          <c:yMode val="edge"/>
          <c:x val="0.16531590854887615"/>
          <c:y val="2.98507462686567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56751000099206"/>
          <c:y val="0.15356822188271244"/>
          <c:w val="0.80372130995158764"/>
          <c:h val="0.68009589846045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Sheet2!$D$96</c:f>
              <c:strCache>
                <c:ptCount val="1"/>
                <c:pt idx="0">
                  <c:v>India Cements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hade val="51000"/>
                    <a:satMod val="130000"/>
                  </a:schemeClr>
                </a:gs>
                <a:gs pos="80000">
                  <a:schemeClr val="accent1">
                    <a:shade val="76000"/>
                    <a:shade val="93000"/>
                    <a:satMod val="130000"/>
                  </a:schemeClr>
                </a:gs>
                <a:gs pos="100000">
                  <a:schemeClr val="accent1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1"/>
              <c:layout>
                <c:manualLayout>
                  <c:x val="-1.0830321831114634E-2"/>
                  <c:y val="0.10734463276836169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C2-4E51-953A-E9C7C7789B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Sheet2!$C$97:$C$99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Sheet2!$D$97:$D$99</c:f>
              <c:numCache>
                <c:formatCode>General</c:formatCode>
                <c:ptCount val="3"/>
                <c:pt idx="0">
                  <c:v>-0.56000000000000005</c:v>
                </c:pt>
                <c:pt idx="1">
                  <c:v>-0.08</c:v>
                </c:pt>
                <c:pt idx="2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2-4E51-953A-E9C7C7789B49}"/>
            </c:ext>
          </c:extLst>
        </c:ser>
        <c:ser>
          <c:idx val="1"/>
          <c:order val="1"/>
          <c:tx>
            <c:strRef>
              <c:f>Sheet2!$E$96</c:f>
              <c:strCache>
                <c:ptCount val="1"/>
                <c:pt idx="0">
                  <c:v>Ramco Cements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hade val="51000"/>
                    <a:satMod val="130000"/>
                  </a:schemeClr>
                </a:gs>
                <a:gs pos="80000">
                  <a:schemeClr val="accent1">
                    <a:tint val="77000"/>
                    <a:shade val="93000"/>
                    <a:satMod val="130000"/>
                  </a:schemeClr>
                </a:gs>
                <a:gs pos="100000">
                  <a:schemeClr val="accent1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Sheet2!$C$97:$C$99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Sheet2!$E$97:$E$99</c:f>
              <c:numCache>
                <c:formatCode>General</c:formatCode>
                <c:ptCount val="3"/>
                <c:pt idx="0">
                  <c:v>2.97</c:v>
                </c:pt>
                <c:pt idx="1">
                  <c:v>2.31</c:v>
                </c:pt>
                <c:pt idx="2">
                  <c:v>2.02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C2-4E51-953A-E9C7C7789B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20734447"/>
        <c:axId val="2020731087"/>
      </c:barChart>
      <c:catAx>
        <c:axId val="2020734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731087"/>
        <c:crosses val="autoZero"/>
        <c:auto val="1"/>
        <c:lblAlgn val="ctr"/>
        <c:lblOffset val="100"/>
        <c:noMultiLvlLbl val="0"/>
      </c:catAx>
      <c:valAx>
        <c:axId val="202073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ICR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734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000" b="1" i="0" u="none" strike="noStrike" baseline="0"/>
              <a:t>Proprietary Ratio Comparison (2023–2025)</a:t>
            </a:r>
            <a:endParaRPr lang="en-IN" sz="1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Sheet2!$D$108</c:f>
              <c:strCache>
                <c:ptCount val="1"/>
                <c:pt idx="0">
                  <c:v>India Cements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76000"/>
                    <a:shade val="51000"/>
                    <a:satMod val="130000"/>
                  </a:schemeClr>
                </a:gs>
                <a:gs pos="80000">
                  <a:schemeClr val="accent1">
                    <a:shade val="76000"/>
                    <a:shade val="93000"/>
                    <a:satMod val="130000"/>
                  </a:schemeClr>
                </a:gs>
                <a:gs pos="100000">
                  <a:schemeClr val="accent1">
                    <a:shade val="76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Sheet2!$C$109:$C$111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Sheet2!$D$109:$D$111</c:f>
              <c:numCache>
                <c:formatCode>General</c:formatCode>
                <c:ptCount val="3"/>
                <c:pt idx="0">
                  <c:v>0.5</c:v>
                </c:pt>
                <c:pt idx="1">
                  <c:v>0.52</c:v>
                </c:pt>
                <c:pt idx="2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E-47F7-953C-AE9556EE0BFF}"/>
            </c:ext>
          </c:extLst>
        </c:ser>
        <c:ser>
          <c:idx val="1"/>
          <c:order val="1"/>
          <c:tx>
            <c:strRef>
              <c:f>Sheet2!$E$108</c:f>
              <c:strCache>
                <c:ptCount val="1"/>
                <c:pt idx="0">
                  <c:v>Ramco Cements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77000"/>
                    <a:shade val="51000"/>
                    <a:satMod val="130000"/>
                  </a:schemeClr>
                </a:gs>
                <a:gs pos="80000">
                  <a:schemeClr val="accent1">
                    <a:tint val="77000"/>
                    <a:shade val="93000"/>
                    <a:satMod val="130000"/>
                  </a:schemeClr>
                </a:gs>
                <a:gs pos="100000">
                  <a:schemeClr val="accent1">
                    <a:tint val="77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Sheet2!$C$109:$C$111</c:f>
              <c:numCache>
                <c:formatCode>General</c:formatCod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numCache>
            </c:numRef>
          </c:cat>
          <c:val>
            <c:numRef>
              <c:f>Sheet2!$E$109:$E$111</c:f>
              <c:numCache>
                <c:formatCode>General</c:formatCode>
                <c:ptCount val="3"/>
                <c:pt idx="0">
                  <c:v>0.47</c:v>
                </c:pt>
                <c:pt idx="1">
                  <c:v>0.44</c:v>
                </c:pt>
                <c:pt idx="2">
                  <c:v>0.46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2E-47F7-953C-AE9556EE0B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639070911"/>
        <c:axId val="639065151"/>
      </c:barChart>
      <c:catAx>
        <c:axId val="63907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065151"/>
        <c:crosses val="autoZero"/>
        <c:auto val="1"/>
        <c:lblAlgn val="ctr"/>
        <c:lblOffset val="100"/>
        <c:noMultiLvlLbl val="0"/>
      </c:catAx>
      <c:valAx>
        <c:axId val="63906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Proprietary 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070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633136482939631"/>
          <c:y val="0.32398986585010209"/>
          <c:w val="0.32067082239720035"/>
          <c:h val="0.53445137066200055"/>
        </c:manualLayout>
      </c:layout>
      <c:radarChart>
        <c:radarStyle val="marker"/>
        <c:varyColors val="0"/>
        <c:ser>
          <c:idx val="0"/>
          <c:order val="0"/>
          <c:tx>
            <c:strRef>
              <c:f>Sheet2!$D$117</c:f>
              <c:strCache>
                <c:ptCount val="1"/>
                <c:pt idx="0">
                  <c:v>India Cements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Sheet2!$C$118:$C$126</c:f>
              <c:strCache>
                <c:ptCount val="9"/>
                <c:pt idx="0">
                  <c:v>Current Ratio</c:v>
                </c:pt>
                <c:pt idx="1">
                  <c:v>Quick Ratio</c:v>
                </c:pt>
                <c:pt idx="2">
                  <c:v>Cash Ratio</c:v>
                </c:pt>
                <c:pt idx="3">
                  <c:v>Operating Ratio (%)</c:v>
                </c:pt>
                <c:pt idx="4">
                  <c:v>Net Profit Margin (%)</c:v>
                </c:pt>
                <c:pt idx="5">
                  <c:v>ROE (%)</c:v>
                </c:pt>
                <c:pt idx="6">
                  <c:v>Debt-Equity Ratio</c:v>
                </c:pt>
                <c:pt idx="7">
                  <c:v>Interest Coverage Ratio</c:v>
                </c:pt>
                <c:pt idx="8">
                  <c:v>Proprietary Ratio</c:v>
                </c:pt>
              </c:strCache>
            </c:strRef>
          </c:cat>
          <c:val>
            <c:numRef>
              <c:f>Sheet2!$D$118:$D$126</c:f>
              <c:numCache>
                <c:formatCode>General</c:formatCode>
                <c:ptCount val="9"/>
                <c:pt idx="0">
                  <c:v>1.21</c:v>
                </c:pt>
                <c:pt idx="1">
                  <c:v>0.94</c:v>
                </c:pt>
                <c:pt idx="2">
                  <c:v>0.02</c:v>
                </c:pt>
                <c:pt idx="3">
                  <c:v>102.63</c:v>
                </c:pt>
                <c:pt idx="4">
                  <c:v>-2.61</c:v>
                </c:pt>
                <c:pt idx="5">
                  <c:v>-3</c:v>
                </c:pt>
                <c:pt idx="6">
                  <c:v>0.51</c:v>
                </c:pt>
                <c:pt idx="7">
                  <c:v>-0.56000000000000005</c:v>
                </c:pt>
                <c:pt idx="8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F2-4F16-8216-EF0AACFE904A}"/>
            </c:ext>
          </c:extLst>
        </c:ser>
        <c:ser>
          <c:idx val="1"/>
          <c:order val="1"/>
          <c:tx>
            <c:strRef>
              <c:f>Sheet2!$E$117</c:f>
              <c:strCache>
                <c:ptCount val="1"/>
                <c:pt idx="0">
                  <c:v>Ramco Cements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Sheet2!$C$118:$C$126</c:f>
              <c:strCache>
                <c:ptCount val="9"/>
                <c:pt idx="0">
                  <c:v>Current Ratio</c:v>
                </c:pt>
                <c:pt idx="1">
                  <c:v>Quick Ratio</c:v>
                </c:pt>
                <c:pt idx="2">
                  <c:v>Cash Ratio</c:v>
                </c:pt>
                <c:pt idx="3">
                  <c:v>Operating Ratio (%)</c:v>
                </c:pt>
                <c:pt idx="4">
                  <c:v>Net Profit Margin (%)</c:v>
                </c:pt>
                <c:pt idx="5">
                  <c:v>ROE (%)</c:v>
                </c:pt>
                <c:pt idx="6">
                  <c:v>Debt-Equity Ratio</c:v>
                </c:pt>
                <c:pt idx="7">
                  <c:v>Interest Coverage Ratio</c:v>
                </c:pt>
                <c:pt idx="8">
                  <c:v>Proprietary Ratio</c:v>
                </c:pt>
              </c:strCache>
            </c:strRef>
          </c:cat>
          <c:val>
            <c:numRef>
              <c:f>Sheet2!$E$118:$E$126</c:f>
              <c:numCache>
                <c:formatCode>General</c:formatCode>
                <c:ptCount val="9"/>
                <c:pt idx="0">
                  <c:v>0.61</c:v>
                </c:pt>
                <c:pt idx="1">
                  <c:v>0.32</c:v>
                </c:pt>
                <c:pt idx="2">
                  <c:v>0.06</c:v>
                </c:pt>
                <c:pt idx="3">
                  <c:v>91.18</c:v>
                </c:pt>
                <c:pt idx="4">
                  <c:v>9.59</c:v>
                </c:pt>
                <c:pt idx="5">
                  <c:v>5.6</c:v>
                </c:pt>
                <c:pt idx="6">
                  <c:v>0.65</c:v>
                </c:pt>
                <c:pt idx="7">
                  <c:v>2.97</c:v>
                </c:pt>
                <c:pt idx="8">
                  <c:v>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F2-4F16-8216-EF0AACFE9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9103071"/>
        <c:axId val="639097791"/>
      </c:radarChart>
      <c:catAx>
        <c:axId val="63910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097791"/>
        <c:crosses val="autoZero"/>
        <c:auto val="1"/>
        <c:lblAlgn val="ctr"/>
        <c:lblOffset val="100"/>
        <c:noMultiLvlLbl val="0"/>
      </c:catAx>
      <c:valAx>
        <c:axId val="639097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10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384175</xdr:colOff>
      <xdr:row>22</xdr:row>
      <xdr:rowOff>63500</xdr:rowOff>
    </xdr:from>
    <xdr:to>
      <xdr:col>12</xdr:col>
      <xdr:colOff>495300</xdr:colOff>
      <xdr:row>29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09DB68-1F2A-2DCC-1211-E1C5A3464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514350</xdr:colOff>
      <xdr:row>12</xdr:row>
      <xdr:rowOff>6350</xdr:rowOff>
    </xdr:from>
    <xdr:to>
      <xdr:col>14</xdr:col>
      <xdr:colOff>139700</xdr:colOff>
      <xdr:row>18</xdr:row>
      <xdr:rowOff>12700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8A6FA22-9263-936B-C563-97D9672943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377825</xdr:colOff>
      <xdr:row>30</xdr:row>
      <xdr:rowOff>19050</xdr:rowOff>
    </xdr:from>
    <xdr:to>
      <xdr:col>12</xdr:col>
      <xdr:colOff>419100</xdr:colOff>
      <xdr:row>37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E279641-EEBB-6BC9-3B08-B182E50773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374650</xdr:colOff>
      <xdr:row>38</xdr:row>
      <xdr:rowOff>25400</xdr:rowOff>
    </xdr:from>
    <xdr:to>
      <xdr:col>12</xdr:col>
      <xdr:colOff>419100</xdr:colOff>
      <xdr:row>44</xdr:row>
      <xdr:rowOff>107950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A8B8C31-A2DF-C8F5-A902-7F09A4127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374650</xdr:colOff>
      <xdr:row>46</xdr:row>
      <xdr:rowOff>50800</xdr:rowOff>
    </xdr:from>
    <xdr:to>
      <xdr:col>12</xdr:col>
      <xdr:colOff>444500</xdr:colOff>
      <xdr:row>52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408FF4C-9388-7387-3043-7B3AF9035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352425</xdr:colOff>
      <xdr:row>53</xdr:row>
      <xdr:rowOff>107950</xdr:rowOff>
    </xdr:from>
    <xdr:to>
      <xdr:col>12</xdr:col>
      <xdr:colOff>469900</xdr:colOff>
      <xdr:row>62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8CF104E-CE1E-DE9A-1796-904F41D20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355599</xdr:colOff>
      <xdr:row>62</xdr:row>
      <xdr:rowOff>101600</xdr:rowOff>
    </xdr:from>
    <xdr:to>
      <xdr:col>12</xdr:col>
      <xdr:colOff>514350</xdr:colOff>
      <xdr:row>73</xdr:row>
      <xdr:rowOff>107950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6AD8003-972C-29A9-387C-2B2E377DB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377825</xdr:colOff>
      <xdr:row>74</xdr:row>
      <xdr:rowOff>44450</xdr:rowOff>
    </xdr:from>
    <xdr:to>
      <xdr:col>12</xdr:col>
      <xdr:colOff>539750</xdr:colOff>
      <xdr:row>83</xdr:row>
      <xdr:rowOff>25400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48C9EE4-EB4E-E3AE-489F-92B0FBE0D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368299</xdr:colOff>
      <xdr:row>84</xdr:row>
      <xdr:rowOff>95250</xdr:rowOff>
    </xdr:from>
    <xdr:to>
      <xdr:col>12</xdr:col>
      <xdr:colOff>558800</xdr:colOff>
      <xdr:row>93</xdr:row>
      <xdr:rowOff>31750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674C32C-1396-6408-8619-39874871B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374649</xdr:colOff>
      <xdr:row>94</xdr:row>
      <xdr:rowOff>31750</xdr:rowOff>
    </xdr:from>
    <xdr:to>
      <xdr:col>13</xdr:col>
      <xdr:colOff>38100</xdr:colOff>
      <xdr:row>104</xdr:row>
      <xdr:rowOff>133350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52B2F99-52B8-7C4A-9540-B17D3116E5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358775</xdr:colOff>
      <xdr:row>105</xdr:row>
      <xdr:rowOff>114300</xdr:rowOff>
    </xdr:from>
    <xdr:to>
      <xdr:col>13</xdr:col>
      <xdr:colOff>69850</xdr:colOff>
      <xdr:row>114</xdr:row>
      <xdr:rowOff>114300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8966A70-8DF8-805E-E9BE-C137B77500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104775</xdr:colOff>
      <xdr:row>116</xdr:row>
      <xdr:rowOff>330200</xdr:rowOff>
    </xdr:from>
    <xdr:to>
      <xdr:col>14</xdr:col>
      <xdr:colOff>212725</xdr:colOff>
      <xdr:row>121</xdr:row>
      <xdr:rowOff>679450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A893910-15FB-EC2D-6BBA-37FB08D12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topLeftCell="A16" workbookViewId="0">
      <selection activeCell="J54" sqref="J54"/>
    </sheetView>
  </sheetViews>
  <sheetFormatPr defaultRowHeight="14.5" x14ac:dyDescent="0.35"/>
  <cols>
    <col min="1" max="1" width="31.453125" customWidth="1"/>
    <col min="2" max="2" width="23.1796875" customWidth="1"/>
    <col min="3" max="3" width="9.36328125" customWidth="1"/>
    <col min="4" max="4" width="8" customWidth="1"/>
    <col min="5" max="5" width="7.90625" customWidth="1"/>
    <col min="6" max="6" width="6.7265625" customWidth="1"/>
    <col min="7" max="7" width="6.26953125" customWidth="1"/>
    <col min="8" max="8" width="6.6328125" customWidth="1"/>
  </cols>
  <sheetData>
    <row r="1" spans="1:5" x14ac:dyDescent="0.35">
      <c r="A1" s="28" t="s">
        <v>2</v>
      </c>
      <c r="B1" s="20"/>
      <c r="C1" s="29">
        <v>44986</v>
      </c>
      <c r="D1" s="20" t="s">
        <v>0</v>
      </c>
      <c r="E1" s="20" t="s">
        <v>1</v>
      </c>
    </row>
    <row r="2" spans="1:5" x14ac:dyDescent="0.35">
      <c r="A2" s="28"/>
      <c r="B2" s="6" t="s">
        <v>4</v>
      </c>
      <c r="C2" s="6">
        <v>5180.6899999999996</v>
      </c>
      <c r="D2" s="6">
        <v>4784.12</v>
      </c>
      <c r="E2" s="6">
        <v>4084.92</v>
      </c>
    </row>
    <row r="3" spans="1:5" x14ac:dyDescent="0.35">
      <c r="A3" s="28"/>
      <c r="B3" s="6" t="s">
        <v>5</v>
      </c>
      <c r="C3" s="6">
        <v>-169.82</v>
      </c>
      <c r="D3" s="6">
        <v>-215.76</v>
      </c>
      <c r="E3" s="6">
        <v>-132.16</v>
      </c>
    </row>
    <row r="4" spans="1:5" x14ac:dyDescent="0.35">
      <c r="A4" s="28"/>
      <c r="B4" s="6" t="s">
        <v>6</v>
      </c>
      <c r="C4" s="6">
        <v>3426.86</v>
      </c>
      <c r="D4" s="6">
        <v>2786.89</v>
      </c>
      <c r="E4" s="6">
        <v>1710.51</v>
      </c>
    </row>
    <row r="5" spans="1:5" x14ac:dyDescent="0.35">
      <c r="A5" s="28"/>
      <c r="B5" s="6" t="s">
        <v>7</v>
      </c>
      <c r="C5" s="6">
        <v>784.66</v>
      </c>
      <c r="D5" s="6">
        <v>630.51</v>
      </c>
      <c r="E5" s="6">
        <v>556.20000000000005</v>
      </c>
    </row>
    <row r="6" spans="1:5" x14ac:dyDescent="0.35">
      <c r="A6" s="28"/>
      <c r="B6" s="6" t="s">
        <v>8</v>
      </c>
      <c r="C6" s="6">
        <v>64.87</v>
      </c>
      <c r="D6" s="6">
        <v>84.22</v>
      </c>
      <c r="E6" s="6">
        <v>104.13</v>
      </c>
    </row>
    <row r="7" spans="1:5" x14ac:dyDescent="0.35">
      <c r="A7" s="28"/>
      <c r="B7" s="6" t="s">
        <v>9</v>
      </c>
      <c r="C7" s="6">
        <v>2826.55</v>
      </c>
      <c r="D7" s="6">
        <v>2796.76</v>
      </c>
      <c r="E7" s="6">
        <v>1250.48</v>
      </c>
    </row>
    <row r="8" spans="1:5" x14ac:dyDescent="0.35">
      <c r="A8" s="28"/>
      <c r="B8" s="6" t="s">
        <v>10</v>
      </c>
      <c r="C8" s="6">
        <v>241.68</v>
      </c>
      <c r="D8" s="6">
        <v>243.65</v>
      </c>
      <c r="E8" s="6">
        <v>266</v>
      </c>
    </row>
    <row r="9" spans="1:5" x14ac:dyDescent="0.35">
      <c r="A9" s="28"/>
      <c r="B9" s="6" t="s">
        <v>11</v>
      </c>
      <c r="C9" s="6">
        <v>-377.77</v>
      </c>
      <c r="D9" s="6">
        <v>-263.37</v>
      </c>
      <c r="E9" s="6">
        <v>-171.34</v>
      </c>
    </row>
    <row r="10" spans="1:5" x14ac:dyDescent="0.35">
      <c r="A10" s="28"/>
      <c r="B10" s="6" t="s">
        <v>12</v>
      </c>
      <c r="C10" s="6">
        <v>5776.3</v>
      </c>
      <c r="D10" s="6">
        <v>5574.72</v>
      </c>
      <c r="E10" s="6">
        <v>10194.129999999999</v>
      </c>
    </row>
    <row r="11" spans="1:5" x14ac:dyDescent="0.35">
      <c r="A11" s="28"/>
      <c r="B11" s="6" t="s">
        <v>13</v>
      </c>
      <c r="C11" s="6">
        <v>1801.24</v>
      </c>
      <c r="D11" s="6">
        <v>1415.26</v>
      </c>
      <c r="E11" s="6">
        <v>1066.3599999999999</v>
      </c>
    </row>
    <row r="12" spans="1:5" x14ac:dyDescent="0.35">
      <c r="A12" s="28"/>
      <c r="B12" s="6" t="s">
        <v>14</v>
      </c>
      <c r="C12" s="6">
        <v>1138.29</v>
      </c>
      <c r="D12" s="6">
        <v>1196.6500000000001</v>
      </c>
      <c r="E12" s="6">
        <v>92.75</v>
      </c>
    </row>
    <row r="13" spans="1:5" x14ac:dyDescent="0.35">
      <c r="A13" s="28"/>
      <c r="B13" s="6" t="s">
        <v>15</v>
      </c>
      <c r="C13" s="6">
        <v>11467.22</v>
      </c>
      <c r="D13" s="6">
        <v>10700.63</v>
      </c>
      <c r="E13" s="6">
        <v>13830.22</v>
      </c>
    </row>
    <row r="14" spans="1:5" x14ac:dyDescent="0.35">
      <c r="A14" s="28" t="s">
        <v>3</v>
      </c>
      <c r="B14" s="6" t="s">
        <v>4</v>
      </c>
      <c r="C14" s="6">
        <v>8100.41</v>
      </c>
      <c r="D14" s="6">
        <v>9322.27</v>
      </c>
      <c r="E14" s="6">
        <v>8495.1</v>
      </c>
    </row>
    <row r="15" spans="1:5" x14ac:dyDescent="0.35">
      <c r="A15" s="28"/>
      <c r="B15" s="6" t="s">
        <v>5</v>
      </c>
      <c r="C15" s="6">
        <v>343.54</v>
      </c>
      <c r="D15" s="6">
        <v>394.98</v>
      </c>
      <c r="E15" s="6">
        <v>417.39</v>
      </c>
    </row>
    <row r="16" spans="1:5" x14ac:dyDescent="0.35">
      <c r="A16" s="28"/>
      <c r="B16" s="6" t="s">
        <v>6</v>
      </c>
      <c r="C16" s="6">
        <v>1886.87</v>
      </c>
      <c r="D16" s="6">
        <v>2249.96</v>
      </c>
      <c r="E16" s="6">
        <v>2238.15</v>
      </c>
    </row>
    <row r="17" spans="1:8" x14ac:dyDescent="0.35">
      <c r="A17" s="28"/>
      <c r="B17" s="6" t="s">
        <v>7</v>
      </c>
      <c r="C17" s="6">
        <v>883.61</v>
      </c>
      <c r="D17" s="6">
        <v>983.48</v>
      </c>
      <c r="E17" s="6">
        <v>1016.18</v>
      </c>
    </row>
    <row r="18" spans="1:8" x14ac:dyDescent="0.35">
      <c r="A18" s="28"/>
      <c r="B18" s="6" t="s">
        <v>8</v>
      </c>
      <c r="C18" s="6">
        <v>170.33</v>
      </c>
      <c r="D18" s="6">
        <v>136.91</v>
      </c>
      <c r="E18" s="6">
        <v>209.15</v>
      </c>
    </row>
    <row r="19" spans="1:8" x14ac:dyDescent="0.35">
      <c r="A19" s="28"/>
      <c r="B19" s="6" t="s">
        <v>9</v>
      </c>
      <c r="C19" s="6">
        <v>3088.09</v>
      </c>
      <c r="D19" s="6">
        <v>3971.43</v>
      </c>
      <c r="E19" s="6">
        <v>4313.16</v>
      </c>
    </row>
    <row r="20" spans="1:8" x14ac:dyDescent="0.35">
      <c r="A20" s="28"/>
      <c r="B20" s="6" t="s">
        <v>10</v>
      </c>
      <c r="C20" s="6">
        <v>240.52</v>
      </c>
      <c r="D20" s="6">
        <v>415.53</v>
      </c>
      <c r="E20" s="6">
        <v>458.76</v>
      </c>
    </row>
    <row r="21" spans="1:8" x14ac:dyDescent="0.35">
      <c r="A21" s="28"/>
      <c r="B21" s="6" t="s">
        <v>11</v>
      </c>
      <c r="C21" s="6">
        <v>473.69</v>
      </c>
      <c r="D21" s="6">
        <v>543.47</v>
      </c>
      <c r="E21" s="6">
        <v>465.74</v>
      </c>
    </row>
    <row r="22" spans="1:8" x14ac:dyDescent="0.35">
      <c r="A22" s="28"/>
      <c r="B22" s="6" t="s">
        <v>12</v>
      </c>
      <c r="C22" s="6">
        <v>6861.06</v>
      </c>
      <c r="D22" s="6">
        <v>7237.9</v>
      </c>
      <c r="E22" s="6">
        <v>7441.65</v>
      </c>
    </row>
    <row r="23" spans="1:8" x14ac:dyDescent="0.35">
      <c r="A23" s="28"/>
      <c r="B23" s="6" t="s">
        <v>13</v>
      </c>
      <c r="C23" s="6">
        <v>3622.16</v>
      </c>
      <c r="D23" s="6">
        <v>3927.21</v>
      </c>
      <c r="E23" s="6">
        <v>3379.05</v>
      </c>
    </row>
    <row r="24" spans="1:8" x14ac:dyDescent="0.35">
      <c r="A24" s="28"/>
      <c r="B24" s="6" t="s">
        <v>14</v>
      </c>
      <c r="C24" s="6">
        <v>865.26</v>
      </c>
      <c r="D24" s="6">
        <v>989.61</v>
      </c>
      <c r="E24" s="6">
        <v>1273.05</v>
      </c>
    </row>
    <row r="25" spans="1:8" x14ac:dyDescent="0.35">
      <c r="A25" s="28"/>
      <c r="B25" s="6" t="s">
        <v>15</v>
      </c>
      <c r="C25" s="6">
        <v>14594.74</v>
      </c>
      <c r="D25" s="6">
        <v>16272.73</v>
      </c>
      <c r="E25" s="6">
        <v>16329.5</v>
      </c>
    </row>
    <row r="27" spans="1:8" ht="11.5" customHeight="1" x14ac:dyDescent="0.35">
      <c r="C27" s="19" t="s">
        <v>39</v>
      </c>
      <c r="D27" s="19"/>
      <c r="E27" s="19"/>
      <c r="F27" s="19"/>
      <c r="G27" s="19"/>
      <c r="H27" s="19"/>
    </row>
    <row r="28" spans="1:8" ht="11.5" customHeight="1" x14ac:dyDescent="0.35">
      <c r="A28" s="1"/>
      <c r="C28" s="19" t="s">
        <v>2</v>
      </c>
      <c r="D28" s="19"/>
      <c r="E28" s="19"/>
      <c r="F28" s="19" t="s">
        <v>3</v>
      </c>
      <c r="G28" s="19"/>
      <c r="H28" s="19"/>
    </row>
    <row r="29" spans="1:8" ht="12.5" customHeight="1" x14ac:dyDescent="0.35">
      <c r="B29" t="s">
        <v>33</v>
      </c>
      <c r="C29" s="12">
        <v>44986</v>
      </c>
      <c r="D29" s="11" t="s">
        <v>0</v>
      </c>
      <c r="E29" s="11" t="s">
        <v>1</v>
      </c>
      <c r="F29" s="12">
        <v>44986</v>
      </c>
      <c r="G29" s="11" t="s">
        <v>0</v>
      </c>
      <c r="H29" s="11" t="s">
        <v>1</v>
      </c>
    </row>
    <row r="30" spans="1:8" ht="14.5" customHeight="1" x14ac:dyDescent="0.35">
      <c r="A30" t="s">
        <v>51</v>
      </c>
      <c r="C30" s="11">
        <f>C4/C7</f>
        <v>1.2123825865454352</v>
      </c>
      <c r="D30" s="11">
        <f>D4/D7</f>
        <v>0.99647091634605744</v>
      </c>
      <c r="E30" s="11">
        <f>E4/E7</f>
        <v>1.3678827330305163</v>
      </c>
      <c r="F30" s="11">
        <f>C16/C19</f>
        <v>0.61101522300192024</v>
      </c>
      <c r="G30" s="11">
        <f>D16/D19</f>
        <v>0.5665364868573789</v>
      </c>
      <c r="H30" s="11">
        <f>E16/E19</f>
        <v>0.51891188826753476</v>
      </c>
    </row>
    <row r="33" spans="1:8" ht="12.5" customHeight="1" x14ac:dyDescent="0.35">
      <c r="C33" s="19" t="s">
        <v>16</v>
      </c>
      <c r="D33" s="19"/>
      <c r="E33" s="19"/>
      <c r="F33" s="19"/>
      <c r="G33" s="19"/>
      <c r="H33" s="19"/>
    </row>
    <row r="34" spans="1:8" ht="12" customHeight="1" x14ac:dyDescent="0.35">
      <c r="C34" s="19" t="s">
        <v>2</v>
      </c>
      <c r="D34" s="19"/>
      <c r="E34" s="19"/>
      <c r="F34" s="19" t="s">
        <v>3</v>
      </c>
      <c r="G34" s="19"/>
      <c r="H34" s="19"/>
    </row>
    <row r="35" spans="1:8" ht="12" customHeight="1" x14ac:dyDescent="0.35">
      <c r="B35" t="s">
        <v>16</v>
      </c>
      <c r="C35" s="12">
        <v>44986</v>
      </c>
      <c r="D35" s="11" t="s">
        <v>0</v>
      </c>
      <c r="E35" s="11" t="s">
        <v>1</v>
      </c>
      <c r="F35" s="12">
        <v>44986</v>
      </c>
      <c r="G35" s="11" t="s">
        <v>0</v>
      </c>
      <c r="H35" s="11" t="s">
        <v>1</v>
      </c>
    </row>
    <row r="36" spans="1:8" ht="12" customHeight="1" x14ac:dyDescent="0.35">
      <c r="A36" t="s">
        <v>17</v>
      </c>
      <c r="C36" s="11">
        <f>(C4-C5)/C7</f>
        <v>0.93477914772425752</v>
      </c>
      <c r="D36" s="11">
        <f t="shared" ref="D36:E36" si="0">(D4-D5)/D7</f>
        <v>0.77102790371715846</v>
      </c>
      <c r="E36" s="11">
        <f t="shared" si="0"/>
        <v>0.92309353208367984</v>
      </c>
      <c r="F36" s="11">
        <f>(C16-C17)/C19</f>
        <v>0.32488042770774161</v>
      </c>
      <c r="G36" s="11">
        <f>(D16-D17)/D19</f>
        <v>0.31889772701520613</v>
      </c>
      <c r="H36" s="11">
        <f>(E16-E17)/E19</f>
        <v>0.28331200326442801</v>
      </c>
    </row>
    <row r="39" spans="1:8" ht="11.5" customHeight="1" x14ac:dyDescent="0.35">
      <c r="C39" s="19" t="s">
        <v>18</v>
      </c>
      <c r="D39" s="19"/>
      <c r="E39" s="19"/>
      <c r="F39" s="19"/>
      <c r="G39" s="19"/>
      <c r="H39" s="19"/>
    </row>
    <row r="40" spans="1:8" ht="13.5" customHeight="1" x14ac:dyDescent="0.35">
      <c r="C40" s="19" t="s">
        <v>2</v>
      </c>
      <c r="D40" s="19"/>
      <c r="E40" s="19"/>
      <c r="F40" s="19" t="s">
        <v>3</v>
      </c>
      <c r="G40" s="19"/>
      <c r="H40" s="19"/>
    </row>
    <row r="41" spans="1:8" ht="13" customHeight="1" x14ac:dyDescent="0.35">
      <c r="B41" t="s">
        <v>18</v>
      </c>
      <c r="C41" s="12">
        <v>44986</v>
      </c>
      <c r="D41" s="11" t="s">
        <v>0</v>
      </c>
      <c r="E41" s="11" t="s">
        <v>1</v>
      </c>
      <c r="F41" s="12">
        <v>44986</v>
      </c>
      <c r="G41" s="11" t="s">
        <v>0</v>
      </c>
      <c r="H41" s="11" t="s">
        <v>1</v>
      </c>
    </row>
    <row r="42" spans="1:8" x14ac:dyDescent="0.35">
      <c r="A42" t="s">
        <v>19</v>
      </c>
      <c r="C42" s="11">
        <f>C6/C7</f>
        <v>2.2950239691496701E-2</v>
      </c>
      <c r="D42" s="11">
        <f t="shared" ref="D42:E42" si="1">D6/D7</f>
        <v>3.01134169539038E-2</v>
      </c>
      <c r="E42" s="11">
        <f t="shared" si="1"/>
        <v>8.3272023542959497E-2</v>
      </c>
      <c r="F42" s="11">
        <f>C18/C19</f>
        <v>5.5157071199349761E-2</v>
      </c>
      <c r="G42" s="11">
        <f>D18/D19</f>
        <v>3.4473728606572447E-2</v>
      </c>
      <c r="H42" s="11">
        <f>E18/E19</f>
        <v>4.849112947351826E-2</v>
      </c>
    </row>
    <row r="45" spans="1:8" ht="12.5" customHeight="1" x14ac:dyDescent="0.35">
      <c r="B45" s="21"/>
      <c r="C45" s="19" t="s">
        <v>20</v>
      </c>
      <c r="D45" s="19"/>
      <c r="E45" s="19"/>
      <c r="F45" s="19"/>
      <c r="G45" s="19"/>
      <c r="H45" s="19"/>
    </row>
    <row r="46" spans="1:8" ht="11.5" customHeight="1" x14ac:dyDescent="0.35">
      <c r="B46" s="22"/>
      <c r="C46" s="19" t="s">
        <v>2</v>
      </c>
      <c r="D46" s="19"/>
      <c r="E46" s="19"/>
      <c r="F46" s="19" t="s">
        <v>3</v>
      </c>
      <c r="G46" s="19"/>
      <c r="H46" s="19"/>
    </row>
    <row r="47" spans="1:8" ht="12.5" customHeight="1" x14ac:dyDescent="0.35">
      <c r="B47" s="15" t="s">
        <v>35</v>
      </c>
      <c r="C47" s="12">
        <v>44986</v>
      </c>
      <c r="D47" s="11" t="s">
        <v>0</v>
      </c>
      <c r="E47" s="11" t="s">
        <v>1</v>
      </c>
      <c r="F47" s="12">
        <v>44986</v>
      </c>
      <c r="G47" s="11" t="s">
        <v>0</v>
      </c>
      <c r="H47" s="11" t="s">
        <v>1</v>
      </c>
    </row>
    <row r="48" spans="1:8" ht="13" customHeight="1" x14ac:dyDescent="0.35">
      <c r="B48" s="15" t="s">
        <v>40</v>
      </c>
      <c r="C48" s="11">
        <f>C2-(C9+C8)</f>
        <v>5316.78</v>
      </c>
      <c r="D48" s="11">
        <f t="shared" ref="D48:E48" si="2">D2-(D9+D8)</f>
        <v>4803.84</v>
      </c>
      <c r="E48" s="11">
        <f t="shared" si="2"/>
        <v>3990.26</v>
      </c>
      <c r="F48" s="11">
        <f>C14-(C21+C20)</f>
        <v>7386.2</v>
      </c>
      <c r="G48" s="11">
        <f t="shared" ref="G48:H48" si="3">D14-(D21+D20)</f>
        <v>8363.27</v>
      </c>
      <c r="H48" s="11">
        <f t="shared" si="3"/>
        <v>7570.6</v>
      </c>
    </row>
    <row r="49" spans="1:8" ht="12.5" customHeight="1" x14ac:dyDescent="0.35">
      <c r="A49" t="s">
        <v>21</v>
      </c>
      <c r="B49" s="15" t="s">
        <v>41</v>
      </c>
      <c r="C49" s="11">
        <f>(C48/C2)*100</f>
        <v>102.62687016594315</v>
      </c>
      <c r="D49" s="11">
        <f t="shared" ref="D49:E49" si="4">(D48/D2)*100</f>
        <v>100.41219701846944</v>
      </c>
      <c r="E49" s="11">
        <f t="shared" si="4"/>
        <v>97.682696356354597</v>
      </c>
      <c r="F49" s="11">
        <f>(F48/C14)*100</f>
        <v>91.183038883217023</v>
      </c>
      <c r="G49" s="11">
        <f t="shared" ref="G49:H49" si="5">(G48/D14)*100</f>
        <v>89.712806001113464</v>
      </c>
      <c r="H49" s="11">
        <f t="shared" si="5"/>
        <v>89.117255829831308</v>
      </c>
    </row>
    <row r="55" spans="1:8" x14ac:dyDescent="0.35">
      <c r="C55" s="23" t="s">
        <v>22</v>
      </c>
      <c r="D55" s="23"/>
      <c r="E55" s="23"/>
      <c r="F55" s="23"/>
      <c r="G55" s="23"/>
      <c r="H55" s="23"/>
    </row>
    <row r="56" spans="1:8" x14ac:dyDescent="0.35">
      <c r="C56" s="23" t="s">
        <v>2</v>
      </c>
      <c r="D56" s="23"/>
      <c r="E56" s="23"/>
      <c r="F56" s="23" t="s">
        <v>3</v>
      </c>
      <c r="G56" s="23"/>
      <c r="H56" s="23"/>
    </row>
    <row r="57" spans="1:8" x14ac:dyDescent="0.35">
      <c r="B57" t="s">
        <v>22</v>
      </c>
      <c r="C57" s="24">
        <v>44986</v>
      </c>
      <c r="D57" s="25" t="s">
        <v>0</v>
      </c>
      <c r="E57" s="25" t="s">
        <v>1</v>
      </c>
      <c r="F57" s="24">
        <v>44986</v>
      </c>
      <c r="G57" s="25" t="s">
        <v>0</v>
      </c>
      <c r="H57" s="25" t="s">
        <v>1</v>
      </c>
    </row>
    <row r="58" spans="1:8" x14ac:dyDescent="0.35">
      <c r="A58" t="s">
        <v>23</v>
      </c>
      <c r="C58" s="25">
        <f>(C3/C2)*100</f>
        <v>-3.2779417413510559</v>
      </c>
      <c r="D58" s="25">
        <f>(D3/D2)*100</f>
        <v>-4.5099203197244222</v>
      </c>
      <c r="E58" s="25">
        <f>(E3/E2)*100</f>
        <v>-3.2353142778805952</v>
      </c>
      <c r="F58" s="25">
        <f>(C15/C14)*100</f>
        <v>4.241019898992767</v>
      </c>
      <c r="G58" s="25">
        <f>(D15/D14)*100</f>
        <v>4.2369508714079291</v>
      </c>
      <c r="H58" s="25">
        <f>(E15/E14)*100</f>
        <v>4.9133029628844858</v>
      </c>
    </row>
    <row r="62" spans="1:8" ht="13" customHeight="1" x14ac:dyDescent="0.35">
      <c r="C62" s="17" t="s">
        <v>24</v>
      </c>
      <c r="D62" s="17"/>
      <c r="E62" s="17"/>
      <c r="F62" s="17"/>
      <c r="G62" s="17"/>
      <c r="H62" s="17"/>
    </row>
    <row r="63" spans="1:8" ht="13" customHeight="1" x14ac:dyDescent="0.35">
      <c r="C63" s="17" t="s">
        <v>2</v>
      </c>
      <c r="D63" s="17"/>
      <c r="E63" s="17"/>
      <c r="F63" s="17" t="s">
        <v>3</v>
      </c>
      <c r="G63" s="17"/>
      <c r="H63" s="17"/>
    </row>
    <row r="64" spans="1:8" ht="13.5" customHeight="1" x14ac:dyDescent="0.35">
      <c r="B64" t="s">
        <v>24</v>
      </c>
      <c r="C64" s="12">
        <v>44986</v>
      </c>
      <c r="D64" s="11" t="s">
        <v>0</v>
      </c>
      <c r="E64" s="11" t="s">
        <v>1</v>
      </c>
      <c r="F64" s="12">
        <v>44986</v>
      </c>
      <c r="G64" s="11" t="s">
        <v>0</v>
      </c>
      <c r="H64" s="11" t="s">
        <v>1</v>
      </c>
    </row>
    <row r="65" spans="1:8" ht="12.5" customHeight="1" x14ac:dyDescent="0.35">
      <c r="A65" t="s">
        <v>25</v>
      </c>
      <c r="C65" s="11">
        <f>(C3/C10)*100</f>
        <v>-2.939944254972906</v>
      </c>
      <c r="D65" s="11">
        <f>(D3/D10)*100</f>
        <v>-3.8703289133804026</v>
      </c>
      <c r="E65" s="11">
        <f>(E3/E10)*100</f>
        <v>-1.2964323586220698</v>
      </c>
      <c r="F65" s="11">
        <f>(C15/C22)*100</f>
        <v>5.0070980285845046</v>
      </c>
      <c r="G65" s="11">
        <f>(D15/D22)*100</f>
        <v>5.4571077246162565</v>
      </c>
      <c r="H65" s="11">
        <f>(E15/E22)*100</f>
        <v>5.6088367499143335</v>
      </c>
    </row>
    <row r="69" spans="1:8" x14ac:dyDescent="0.35">
      <c r="B69" s="10" t="s">
        <v>26</v>
      </c>
      <c r="C69" s="10"/>
      <c r="D69" s="10"/>
      <c r="E69" s="10"/>
      <c r="F69" s="10"/>
      <c r="G69" s="10"/>
      <c r="H69" s="10"/>
    </row>
    <row r="70" spans="1:8" x14ac:dyDescent="0.35">
      <c r="B70" s="27"/>
      <c r="C70" s="10" t="s">
        <v>2</v>
      </c>
      <c r="D70" s="10"/>
      <c r="E70" s="10"/>
      <c r="F70" s="10" t="s">
        <v>3</v>
      </c>
      <c r="G70" s="10"/>
      <c r="H70" s="10"/>
    </row>
    <row r="71" spans="1:8" x14ac:dyDescent="0.35">
      <c r="B71" s="4" t="s">
        <v>35</v>
      </c>
      <c r="C71" s="2">
        <v>44986</v>
      </c>
      <c r="D71" s="3" t="s">
        <v>0</v>
      </c>
      <c r="E71" s="3" t="s">
        <v>1</v>
      </c>
      <c r="F71" s="2">
        <v>44986</v>
      </c>
      <c r="G71" s="3" t="s">
        <v>0</v>
      </c>
      <c r="H71" s="3" t="s">
        <v>1</v>
      </c>
    </row>
    <row r="72" spans="1:8" x14ac:dyDescent="0.35">
      <c r="B72" s="26" t="s">
        <v>44</v>
      </c>
      <c r="C72" s="5">
        <f>C11+C12</f>
        <v>2939.5299999999997</v>
      </c>
      <c r="D72" s="5">
        <f>D11+D12</f>
        <v>2611.91</v>
      </c>
      <c r="E72" s="5">
        <f>E11+E12</f>
        <v>1159.1099999999999</v>
      </c>
      <c r="F72" s="3">
        <f>C23+C24</f>
        <v>4487.42</v>
      </c>
      <c r="G72" s="3">
        <f>D23+D24</f>
        <v>4916.82</v>
      </c>
      <c r="H72" s="3">
        <f>E23+E24</f>
        <v>4652.1000000000004</v>
      </c>
    </row>
    <row r="73" spans="1:8" x14ac:dyDescent="0.35">
      <c r="A73" t="s">
        <v>27</v>
      </c>
      <c r="B73" s="26" t="s">
        <v>26</v>
      </c>
      <c r="C73" s="3">
        <f>C72/C10</f>
        <v>0.50889496736665329</v>
      </c>
      <c r="D73" s="3">
        <f>D72/D10</f>
        <v>0.46852756730382866</v>
      </c>
      <c r="E73" s="3">
        <f>E72/E10</f>
        <v>0.11370367064183015</v>
      </c>
      <c r="F73" s="3">
        <f>F72/C22</f>
        <v>0.65404179529110662</v>
      </c>
      <c r="G73" s="3">
        <f>G72/D22</f>
        <v>0.67931582365050636</v>
      </c>
      <c r="H73" s="3">
        <f>H72/E22</f>
        <v>0.625143617342928</v>
      </c>
    </row>
    <row r="74" spans="1:8" x14ac:dyDescent="0.35">
      <c r="B74" s="1"/>
    </row>
    <row r="75" spans="1:8" x14ac:dyDescent="0.35">
      <c r="E75" t="s">
        <v>32</v>
      </c>
    </row>
    <row r="78" spans="1:8" x14ac:dyDescent="0.35">
      <c r="C78" s="17" t="s">
        <v>28</v>
      </c>
      <c r="D78" s="17"/>
      <c r="E78" s="17"/>
      <c r="F78" s="17"/>
      <c r="G78" s="17"/>
      <c r="H78" s="17"/>
    </row>
    <row r="79" spans="1:8" x14ac:dyDescent="0.35">
      <c r="C79" s="17" t="s">
        <v>2</v>
      </c>
      <c r="D79" s="17"/>
      <c r="E79" s="17"/>
      <c r="F79" s="17" t="s">
        <v>3</v>
      </c>
      <c r="G79" s="17"/>
      <c r="H79" s="17"/>
    </row>
    <row r="80" spans="1:8" x14ac:dyDescent="0.35">
      <c r="B80" t="s">
        <v>28</v>
      </c>
      <c r="C80" s="12">
        <v>44986</v>
      </c>
      <c r="D80" s="11" t="s">
        <v>0</v>
      </c>
      <c r="E80" s="11" t="s">
        <v>1</v>
      </c>
      <c r="F80" s="12">
        <v>44986</v>
      </c>
      <c r="G80" s="11" t="s">
        <v>0</v>
      </c>
      <c r="H80" s="11" t="s">
        <v>1</v>
      </c>
    </row>
    <row r="81" spans="1:8" x14ac:dyDescent="0.35">
      <c r="A81" t="s">
        <v>29</v>
      </c>
      <c r="C81" s="11">
        <f>(C9+C8)/C8</f>
        <v>-0.56309996689837793</v>
      </c>
      <c r="D81" s="11">
        <f t="shared" ref="D81:E81" si="6">(D9+D8)/D8</f>
        <v>-8.093576852041863E-2</v>
      </c>
      <c r="E81" s="11">
        <f t="shared" si="6"/>
        <v>0.35586466165413533</v>
      </c>
      <c r="F81" s="11">
        <f>(C21+C20)/C20</f>
        <v>2.9694412107101282</v>
      </c>
      <c r="G81" s="11">
        <f>(D21+D20)/D20</f>
        <v>2.3078959401246602</v>
      </c>
      <c r="H81" s="11">
        <f>(E21+E20)/E20</f>
        <v>2.0152149271950477</v>
      </c>
    </row>
    <row r="85" spans="1:8" x14ac:dyDescent="0.35">
      <c r="C85" s="17" t="s">
        <v>30</v>
      </c>
      <c r="D85" s="17"/>
      <c r="E85" s="17"/>
      <c r="F85" s="17"/>
      <c r="G85" s="17"/>
      <c r="H85" s="17"/>
    </row>
    <row r="86" spans="1:8" x14ac:dyDescent="0.35">
      <c r="C86" s="17" t="s">
        <v>2</v>
      </c>
      <c r="D86" s="17"/>
      <c r="E86" s="17"/>
      <c r="F86" s="17" t="s">
        <v>3</v>
      </c>
      <c r="G86" s="17"/>
      <c r="H86" s="17"/>
    </row>
    <row r="87" spans="1:8" x14ac:dyDescent="0.35">
      <c r="B87" t="s">
        <v>30</v>
      </c>
      <c r="C87" s="12">
        <v>44986</v>
      </c>
      <c r="D87" s="11" t="s">
        <v>0</v>
      </c>
      <c r="E87" s="11" t="s">
        <v>1</v>
      </c>
      <c r="F87" s="12">
        <v>44986</v>
      </c>
      <c r="G87" s="11" t="s">
        <v>0</v>
      </c>
      <c r="H87" s="11" t="s">
        <v>1</v>
      </c>
    </row>
    <row r="88" spans="1:8" x14ac:dyDescent="0.35">
      <c r="A88" t="s">
        <v>31</v>
      </c>
      <c r="B88" t="s">
        <v>2</v>
      </c>
      <c r="C88" s="11">
        <f>C10/C13</f>
        <v>0.50372278547023608</v>
      </c>
      <c r="D88" s="11">
        <f>D10/D13</f>
        <v>0.5209711951539302</v>
      </c>
      <c r="E88" s="11">
        <f>E10/E13</f>
        <v>0.73709095010780734</v>
      </c>
      <c r="F88" s="11">
        <f>C22/C25</f>
        <v>0.47010498302813208</v>
      </c>
      <c r="G88" s="11">
        <f>D22/D25</f>
        <v>0.44478707629266878</v>
      </c>
      <c r="H88" s="11">
        <f>E22/E25</f>
        <v>0.45571817875623871</v>
      </c>
    </row>
  </sheetData>
  <mergeCells count="30">
    <mergeCell ref="B45:B46"/>
    <mergeCell ref="A1:A13"/>
    <mergeCell ref="B69:H69"/>
    <mergeCell ref="C27:H27"/>
    <mergeCell ref="C28:E28"/>
    <mergeCell ref="F28:H28"/>
    <mergeCell ref="C39:H39"/>
    <mergeCell ref="C40:E40"/>
    <mergeCell ref="F40:H40"/>
    <mergeCell ref="C33:H33"/>
    <mergeCell ref="C34:E34"/>
    <mergeCell ref="F34:H34"/>
    <mergeCell ref="C62:H62"/>
    <mergeCell ref="C63:E63"/>
    <mergeCell ref="F63:H63"/>
    <mergeCell ref="C45:H45"/>
    <mergeCell ref="C46:E46"/>
    <mergeCell ref="F46:H46"/>
    <mergeCell ref="A14:A25"/>
    <mergeCell ref="C86:E86"/>
    <mergeCell ref="F86:H86"/>
    <mergeCell ref="C79:E79"/>
    <mergeCell ref="F79:H79"/>
    <mergeCell ref="C85:H85"/>
    <mergeCell ref="C78:H78"/>
    <mergeCell ref="C70:E70"/>
    <mergeCell ref="F70:H70"/>
    <mergeCell ref="C56:E56"/>
    <mergeCell ref="F56:H56"/>
    <mergeCell ref="C55:H55"/>
  </mergeCells>
  <conditionalFormatting sqref="C55:H5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58DB-3D62-453E-AC97-C64A2F469FA6}">
  <dimension ref="A1:L126"/>
  <sheetViews>
    <sheetView zoomScale="70" zoomScaleNormal="70" workbookViewId="0">
      <selection activeCell="Q122" sqref="Q122"/>
    </sheetView>
  </sheetViews>
  <sheetFormatPr defaultRowHeight="14.5" x14ac:dyDescent="0.35"/>
  <cols>
    <col min="2" max="2" width="17.81640625" customWidth="1"/>
    <col min="3" max="3" width="6.08984375" customWidth="1"/>
    <col min="4" max="4" width="15.453125" customWidth="1"/>
    <col min="5" max="5" width="13.36328125" customWidth="1"/>
    <col min="6" max="7" width="5.90625" customWidth="1"/>
    <col min="8" max="8" width="5.6328125" customWidth="1"/>
  </cols>
  <sheetData>
    <row r="1" spans="1:12" ht="16.5" customHeight="1" x14ac:dyDescent="0.35">
      <c r="B1" s="13" t="s">
        <v>34</v>
      </c>
      <c r="C1" s="13"/>
      <c r="D1" s="13"/>
      <c r="E1" s="13"/>
      <c r="F1" s="13"/>
      <c r="G1" s="13"/>
      <c r="H1" s="13"/>
    </row>
    <row r="2" spans="1:12" ht="12.5" customHeight="1" x14ac:dyDescent="0.35">
      <c r="B2" s="15" t="s">
        <v>38</v>
      </c>
      <c r="C2" s="17" t="s">
        <v>2</v>
      </c>
      <c r="D2" s="17"/>
      <c r="E2" s="17"/>
      <c r="F2" s="17" t="s">
        <v>3</v>
      </c>
      <c r="G2" s="17"/>
      <c r="H2" s="17"/>
    </row>
    <row r="3" spans="1:12" ht="14" customHeight="1" x14ac:dyDescent="0.35">
      <c r="A3" s="9" t="s">
        <v>2</v>
      </c>
      <c r="B3" s="15" t="s">
        <v>35</v>
      </c>
      <c r="C3" s="16">
        <v>44986</v>
      </c>
      <c r="D3" s="15" t="s">
        <v>0</v>
      </c>
      <c r="E3" s="15" t="s">
        <v>1</v>
      </c>
      <c r="F3" s="16">
        <v>44986</v>
      </c>
      <c r="G3" s="15" t="s">
        <v>0</v>
      </c>
      <c r="H3" s="15" t="s">
        <v>1</v>
      </c>
      <c r="K3" s="8" t="s">
        <v>36</v>
      </c>
      <c r="L3" s="8" t="s">
        <v>37</v>
      </c>
    </row>
    <row r="4" spans="1:12" ht="14.5" customHeight="1" x14ac:dyDescent="0.35">
      <c r="A4" s="9"/>
      <c r="B4" s="15" t="s">
        <v>4</v>
      </c>
      <c r="C4" s="14">
        <v>5180.6899999999996</v>
      </c>
      <c r="D4" s="14">
        <v>4784.12</v>
      </c>
      <c r="E4" s="14">
        <v>4084.92</v>
      </c>
      <c r="F4" s="14">
        <v>8100.41</v>
      </c>
      <c r="G4" s="14">
        <v>9322.27</v>
      </c>
      <c r="H4" s="14">
        <v>8495.1</v>
      </c>
      <c r="K4" s="18" t="s">
        <v>2</v>
      </c>
      <c r="L4" s="18">
        <v>4084.92</v>
      </c>
    </row>
    <row r="5" spans="1:12" ht="12.5" customHeight="1" x14ac:dyDescent="0.35">
      <c r="A5" s="9"/>
      <c r="B5" s="15" t="s">
        <v>5</v>
      </c>
      <c r="C5" s="14">
        <v>-169.82</v>
      </c>
      <c r="D5" s="14">
        <v>-215.76</v>
      </c>
      <c r="E5" s="14">
        <v>-132.16</v>
      </c>
      <c r="F5" s="14">
        <v>343.54</v>
      </c>
      <c r="G5" s="14">
        <v>394.98</v>
      </c>
      <c r="H5" s="14">
        <v>417.39</v>
      </c>
      <c r="K5" s="18" t="s">
        <v>3</v>
      </c>
      <c r="L5" s="18">
        <v>8495.1</v>
      </c>
    </row>
    <row r="6" spans="1:12" x14ac:dyDescent="0.35">
      <c r="A6" s="9"/>
      <c r="B6" s="15" t="s">
        <v>6</v>
      </c>
      <c r="C6" s="14">
        <v>3426.86</v>
      </c>
      <c r="D6" s="14">
        <v>2786.89</v>
      </c>
      <c r="E6" s="14">
        <v>1710.51</v>
      </c>
      <c r="F6" s="14">
        <v>1886.87</v>
      </c>
      <c r="G6" s="14">
        <v>2249.96</v>
      </c>
      <c r="H6" s="14">
        <v>2238.15</v>
      </c>
    </row>
    <row r="7" spans="1:12" x14ac:dyDescent="0.35">
      <c r="A7" s="9"/>
      <c r="B7" s="15" t="s">
        <v>7</v>
      </c>
      <c r="C7" s="14">
        <v>784.66</v>
      </c>
      <c r="D7" s="14">
        <v>630.51</v>
      </c>
      <c r="E7" s="14">
        <v>556.20000000000005</v>
      </c>
      <c r="F7" s="14">
        <v>883.61</v>
      </c>
      <c r="G7" s="14">
        <v>983.48</v>
      </c>
      <c r="H7" s="14">
        <v>1016.18</v>
      </c>
    </row>
    <row r="8" spans="1:12" x14ac:dyDescent="0.35">
      <c r="A8" s="9"/>
      <c r="B8" s="15" t="s">
        <v>8</v>
      </c>
      <c r="C8" s="14">
        <v>64.87</v>
      </c>
      <c r="D8" s="14">
        <v>84.22</v>
      </c>
      <c r="E8" s="14">
        <v>104.13</v>
      </c>
      <c r="F8" s="14">
        <v>170.33</v>
      </c>
      <c r="G8" s="14">
        <v>136.91</v>
      </c>
      <c r="H8" s="14">
        <v>209.15</v>
      </c>
    </row>
    <row r="9" spans="1:12" x14ac:dyDescent="0.35">
      <c r="A9" s="9"/>
      <c r="B9" s="15" t="s">
        <v>9</v>
      </c>
      <c r="C9" s="14">
        <v>2826.55</v>
      </c>
      <c r="D9" s="14">
        <v>2796.76</v>
      </c>
      <c r="E9" s="14">
        <v>1250.48</v>
      </c>
      <c r="F9" s="14">
        <v>3088.09</v>
      </c>
      <c r="G9" s="14">
        <v>3971.43</v>
      </c>
      <c r="H9" s="14">
        <v>4313.16</v>
      </c>
    </row>
    <row r="10" spans="1:12" x14ac:dyDescent="0.35">
      <c r="A10" s="9"/>
      <c r="B10" s="15" t="s">
        <v>10</v>
      </c>
      <c r="C10" s="14">
        <v>241.68</v>
      </c>
      <c r="D10" s="14">
        <v>243.65</v>
      </c>
      <c r="E10" s="14">
        <v>266</v>
      </c>
      <c r="F10" s="14">
        <v>240.52</v>
      </c>
      <c r="G10" s="14">
        <v>415.53</v>
      </c>
      <c r="H10" s="14">
        <v>458.76</v>
      </c>
    </row>
    <row r="11" spans="1:12" x14ac:dyDescent="0.35">
      <c r="A11" s="9"/>
      <c r="B11" s="15" t="s">
        <v>11</v>
      </c>
      <c r="C11" s="14">
        <v>-377.77</v>
      </c>
      <c r="D11" s="14">
        <v>-263.37</v>
      </c>
      <c r="E11" s="14">
        <v>-171.34</v>
      </c>
      <c r="F11" s="14">
        <v>473.69</v>
      </c>
      <c r="G11" s="14">
        <v>543.47</v>
      </c>
      <c r="H11" s="14">
        <v>465.74</v>
      </c>
    </row>
    <row r="12" spans="1:12" x14ac:dyDescent="0.35">
      <c r="A12" s="9"/>
      <c r="B12" s="15" t="s">
        <v>12</v>
      </c>
      <c r="C12" s="14">
        <v>5776.3</v>
      </c>
      <c r="D12" s="14">
        <v>5574.72</v>
      </c>
      <c r="E12" s="14">
        <v>10194.129999999999</v>
      </c>
      <c r="F12" s="14">
        <v>6861.06</v>
      </c>
      <c r="G12" s="14">
        <v>7237.9</v>
      </c>
      <c r="H12" s="14">
        <v>7441.65</v>
      </c>
    </row>
    <row r="13" spans="1:12" x14ac:dyDescent="0.35">
      <c r="A13" s="9"/>
      <c r="B13" s="15" t="s">
        <v>13</v>
      </c>
      <c r="C13" s="14">
        <v>1801.24</v>
      </c>
      <c r="D13" s="14">
        <v>1415.26</v>
      </c>
      <c r="E13" s="14">
        <v>1066.3599999999999</v>
      </c>
      <c r="F13" s="14">
        <v>3622.16</v>
      </c>
      <c r="G13" s="14">
        <v>3927.21</v>
      </c>
      <c r="H13" s="14">
        <v>3379.05</v>
      </c>
    </row>
    <row r="14" spans="1:12" x14ac:dyDescent="0.35">
      <c r="A14" s="9"/>
      <c r="B14" s="15" t="s">
        <v>14</v>
      </c>
      <c r="C14" s="14">
        <v>1138.29</v>
      </c>
      <c r="D14" s="14">
        <v>1196.6500000000001</v>
      </c>
      <c r="E14" s="14">
        <v>92.75</v>
      </c>
      <c r="F14" s="14">
        <v>865.26</v>
      </c>
      <c r="G14" s="14">
        <v>989.61</v>
      </c>
      <c r="H14" s="14">
        <v>1273.05</v>
      </c>
    </row>
    <row r="15" spans="1:12" x14ac:dyDescent="0.35">
      <c r="A15" s="9"/>
      <c r="B15" s="15" t="s">
        <v>15</v>
      </c>
      <c r="C15" s="14">
        <v>11467.22</v>
      </c>
      <c r="D15" s="14">
        <v>10700.63</v>
      </c>
      <c r="E15" s="14">
        <v>13830.22</v>
      </c>
      <c r="F15" s="14">
        <v>14594.74</v>
      </c>
      <c r="G15" s="14">
        <v>16272.73</v>
      </c>
      <c r="H15" s="14">
        <v>16329.5</v>
      </c>
    </row>
    <row r="18" spans="3:6" ht="43.5" x14ac:dyDescent="0.35">
      <c r="C18" s="8" t="s">
        <v>35</v>
      </c>
      <c r="D18" s="8" t="s">
        <v>4</v>
      </c>
      <c r="E18" s="8" t="s">
        <v>5</v>
      </c>
      <c r="F18" s="3"/>
    </row>
    <row r="19" spans="3:6" x14ac:dyDescent="0.35">
      <c r="C19" s="7">
        <v>2023</v>
      </c>
      <c r="D19" s="7">
        <v>5180.6899999999996</v>
      </c>
      <c r="E19" s="7">
        <v>-169.82</v>
      </c>
      <c r="F19" s="3"/>
    </row>
    <row r="20" spans="3:6" x14ac:dyDescent="0.35">
      <c r="C20" s="7">
        <v>2024</v>
      </c>
      <c r="D20" s="7">
        <v>4784.12</v>
      </c>
      <c r="E20" s="7">
        <v>-215.76</v>
      </c>
      <c r="F20" s="3"/>
    </row>
    <row r="21" spans="3:6" x14ac:dyDescent="0.35">
      <c r="C21" s="7">
        <v>2025</v>
      </c>
      <c r="D21" s="7">
        <v>4084.92</v>
      </c>
      <c r="E21" s="7">
        <v>-132.16</v>
      </c>
      <c r="F21" s="3"/>
    </row>
    <row r="22" spans="3:6" x14ac:dyDescent="0.35">
      <c r="C22" s="3"/>
      <c r="D22" s="3"/>
      <c r="E22" s="3"/>
      <c r="F22" s="3"/>
    </row>
    <row r="24" spans="3:6" x14ac:dyDescent="0.35">
      <c r="C24" s="8"/>
      <c r="D24" s="7">
        <v>2023</v>
      </c>
      <c r="E24" s="7">
        <v>2024</v>
      </c>
      <c r="F24" s="7">
        <v>2025</v>
      </c>
    </row>
    <row r="25" spans="3:6" ht="29" x14ac:dyDescent="0.35">
      <c r="C25" s="8" t="s">
        <v>4</v>
      </c>
      <c r="D25" s="7">
        <v>5180.6899999999996</v>
      </c>
      <c r="E25" s="7">
        <v>4784.12</v>
      </c>
      <c r="F25" s="7">
        <v>4084.92</v>
      </c>
    </row>
    <row r="26" spans="3:6" ht="43.5" x14ac:dyDescent="0.35">
      <c r="C26" s="8" t="s">
        <v>5</v>
      </c>
      <c r="D26" s="7">
        <v>-169.82</v>
      </c>
      <c r="E26" s="7">
        <v>-215.76</v>
      </c>
      <c r="F26" s="7">
        <v>-132.16</v>
      </c>
    </row>
    <row r="33" spans="3:5" ht="58" x14ac:dyDescent="0.35">
      <c r="C33" s="8" t="s">
        <v>35</v>
      </c>
      <c r="D33" s="8" t="s">
        <v>2</v>
      </c>
      <c r="E33" s="8" t="s">
        <v>3</v>
      </c>
    </row>
    <row r="34" spans="3:5" x14ac:dyDescent="0.35">
      <c r="C34" s="18">
        <v>2023</v>
      </c>
      <c r="D34" s="18">
        <v>1.21</v>
      </c>
      <c r="E34" s="18">
        <v>0.61</v>
      </c>
    </row>
    <row r="35" spans="3:5" x14ac:dyDescent="0.35">
      <c r="C35" s="18">
        <v>2024</v>
      </c>
      <c r="D35" s="18">
        <v>1</v>
      </c>
      <c r="E35" s="18">
        <v>0.56999999999999995</v>
      </c>
    </row>
    <row r="36" spans="3:5" x14ac:dyDescent="0.35">
      <c r="C36" s="18">
        <v>2025</v>
      </c>
      <c r="D36" s="18">
        <v>1.37</v>
      </c>
      <c r="E36" s="18">
        <v>0.52</v>
      </c>
    </row>
    <row r="40" spans="3:5" ht="58" x14ac:dyDescent="0.35">
      <c r="C40" s="8" t="s">
        <v>35</v>
      </c>
      <c r="D40" s="8" t="s">
        <v>2</v>
      </c>
      <c r="E40" s="8" t="s">
        <v>3</v>
      </c>
    </row>
    <row r="41" spans="3:5" x14ac:dyDescent="0.35">
      <c r="C41" s="18">
        <v>2023</v>
      </c>
      <c r="D41" s="18">
        <v>0.94</v>
      </c>
      <c r="E41" s="18">
        <v>0.32</v>
      </c>
    </row>
    <row r="42" spans="3:5" x14ac:dyDescent="0.35">
      <c r="C42" s="18">
        <v>2024</v>
      </c>
      <c r="D42" s="18">
        <v>0.77</v>
      </c>
      <c r="E42" s="18">
        <v>0.32</v>
      </c>
    </row>
    <row r="43" spans="3:5" x14ac:dyDescent="0.35">
      <c r="C43" s="18">
        <v>2025</v>
      </c>
      <c r="D43" s="18">
        <v>0.92</v>
      </c>
      <c r="E43" s="18">
        <v>0.28000000000000003</v>
      </c>
    </row>
    <row r="47" spans="3:5" ht="58" x14ac:dyDescent="0.35">
      <c r="C47" s="8" t="s">
        <v>35</v>
      </c>
      <c r="D47" s="8" t="s">
        <v>2</v>
      </c>
      <c r="E47" s="8" t="s">
        <v>3</v>
      </c>
    </row>
    <row r="48" spans="3:5" x14ac:dyDescent="0.35">
      <c r="C48" s="18">
        <v>2023</v>
      </c>
      <c r="D48" s="18">
        <v>0.02</v>
      </c>
      <c r="E48" s="18">
        <v>0.06</v>
      </c>
    </row>
    <row r="49" spans="3:5" x14ac:dyDescent="0.35">
      <c r="C49" s="18">
        <v>2024</v>
      </c>
      <c r="D49" s="18">
        <v>0.03</v>
      </c>
      <c r="E49" s="18">
        <v>0.03</v>
      </c>
    </row>
    <row r="50" spans="3:5" x14ac:dyDescent="0.35">
      <c r="C50" s="18">
        <v>2025</v>
      </c>
      <c r="D50" s="18">
        <v>0.08</v>
      </c>
      <c r="E50" s="18">
        <v>0.05</v>
      </c>
    </row>
    <row r="55" spans="3:5" ht="33" customHeight="1" x14ac:dyDescent="0.35">
      <c r="C55" s="8" t="s">
        <v>35</v>
      </c>
      <c r="D55" s="8" t="s">
        <v>42</v>
      </c>
      <c r="E55" s="8" t="s">
        <v>43</v>
      </c>
    </row>
    <row r="56" spans="3:5" x14ac:dyDescent="0.35">
      <c r="C56" s="18">
        <v>2023</v>
      </c>
      <c r="D56" s="18">
        <v>102.63</v>
      </c>
      <c r="E56" s="18">
        <v>91.18</v>
      </c>
    </row>
    <row r="57" spans="3:5" x14ac:dyDescent="0.35">
      <c r="C57" s="18">
        <v>2024</v>
      </c>
      <c r="D57" s="18">
        <v>100.41</v>
      </c>
      <c r="E57" s="18">
        <v>89.71</v>
      </c>
    </row>
    <row r="58" spans="3:5" x14ac:dyDescent="0.35">
      <c r="C58" s="18">
        <v>2025</v>
      </c>
      <c r="D58" s="18">
        <v>97.68</v>
      </c>
      <c r="E58" s="18">
        <v>89.12</v>
      </c>
    </row>
    <row r="65" spans="3:5" ht="29" x14ac:dyDescent="0.35">
      <c r="C65" s="8" t="s">
        <v>35</v>
      </c>
      <c r="D65" s="8" t="s">
        <v>42</v>
      </c>
      <c r="E65" s="8" t="s">
        <v>43</v>
      </c>
    </row>
    <row r="66" spans="3:5" x14ac:dyDescent="0.35">
      <c r="C66" s="18">
        <v>2023</v>
      </c>
      <c r="D66" s="18">
        <v>-3.28</v>
      </c>
      <c r="E66" s="18">
        <v>4.24</v>
      </c>
    </row>
    <row r="67" spans="3:5" x14ac:dyDescent="0.35">
      <c r="C67" s="18">
        <v>2024</v>
      </c>
      <c r="D67" s="18">
        <v>-4.51</v>
      </c>
      <c r="E67" s="18">
        <v>4.24</v>
      </c>
    </row>
    <row r="68" spans="3:5" x14ac:dyDescent="0.35">
      <c r="C68" s="18">
        <v>2025</v>
      </c>
      <c r="D68" s="18">
        <v>-3.23</v>
      </c>
      <c r="E68" s="18">
        <v>4.91</v>
      </c>
    </row>
    <row r="77" spans="3:5" ht="29" x14ac:dyDescent="0.35">
      <c r="C77" s="8" t="s">
        <v>35</v>
      </c>
      <c r="D77" s="8" t="s">
        <v>42</v>
      </c>
      <c r="E77" s="8" t="s">
        <v>43</v>
      </c>
    </row>
    <row r="78" spans="3:5" x14ac:dyDescent="0.35">
      <c r="C78" s="18">
        <v>2023</v>
      </c>
      <c r="D78" s="18">
        <v>-2.94</v>
      </c>
      <c r="E78" s="18">
        <v>5.01</v>
      </c>
    </row>
    <row r="79" spans="3:5" x14ac:dyDescent="0.35">
      <c r="C79" s="18">
        <v>2024</v>
      </c>
      <c r="D79" s="18">
        <v>-3.87</v>
      </c>
      <c r="E79" s="18">
        <v>5.46</v>
      </c>
    </row>
    <row r="80" spans="3:5" x14ac:dyDescent="0.35">
      <c r="C80" s="18">
        <v>2025</v>
      </c>
      <c r="D80" s="18">
        <v>-1.3</v>
      </c>
      <c r="E80" s="18">
        <v>5.61</v>
      </c>
    </row>
    <row r="86" spans="3:5" ht="29" x14ac:dyDescent="0.35">
      <c r="C86" s="8" t="s">
        <v>35</v>
      </c>
      <c r="D86" s="8" t="s">
        <v>2</v>
      </c>
      <c r="E86" s="8" t="s">
        <v>3</v>
      </c>
    </row>
    <row r="87" spans="3:5" x14ac:dyDescent="0.35">
      <c r="C87" s="18">
        <v>2023</v>
      </c>
      <c r="D87" s="18">
        <v>0.51</v>
      </c>
      <c r="E87" s="18">
        <v>0.65</v>
      </c>
    </row>
    <row r="88" spans="3:5" x14ac:dyDescent="0.35">
      <c r="C88" s="18">
        <v>2024</v>
      </c>
      <c r="D88" s="18">
        <v>0.47</v>
      </c>
      <c r="E88" s="18">
        <v>0.68</v>
      </c>
    </row>
    <row r="89" spans="3:5" x14ac:dyDescent="0.35">
      <c r="C89" s="18">
        <v>2025</v>
      </c>
      <c r="D89" s="18">
        <v>0.11</v>
      </c>
      <c r="E89" s="18">
        <v>0.62</v>
      </c>
    </row>
    <row r="96" spans="3:5" ht="29" x14ac:dyDescent="0.35">
      <c r="C96" s="8" t="s">
        <v>35</v>
      </c>
      <c r="D96" s="8" t="s">
        <v>2</v>
      </c>
      <c r="E96" s="8" t="s">
        <v>3</v>
      </c>
    </row>
    <row r="97" spans="3:5" x14ac:dyDescent="0.35">
      <c r="C97" s="18">
        <v>2023</v>
      </c>
      <c r="D97" s="18">
        <v>-0.56000000000000005</v>
      </c>
      <c r="E97" s="18">
        <v>2.97</v>
      </c>
    </row>
    <row r="98" spans="3:5" x14ac:dyDescent="0.35">
      <c r="C98" s="18">
        <v>2024</v>
      </c>
      <c r="D98" s="18">
        <v>-0.08</v>
      </c>
      <c r="E98" s="18">
        <v>2.31</v>
      </c>
    </row>
    <row r="99" spans="3:5" x14ac:dyDescent="0.35">
      <c r="C99" s="18">
        <v>2025</v>
      </c>
      <c r="D99" s="18">
        <v>0.36</v>
      </c>
      <c r="E99" s="18">
        <v>2.02</v>
      </c>
    </row>
    <row r="108" spans="3:5" ht="29" x14ac:dyDescent="0.35">
      <c r="C108" s="8" t="s">
        <v>35</v>
      </c>
      <c r="D108" s="8" t="s">
        <v>2</v>
      </c>
      <c r="E108" s="8" t="s">
        <v>3</v>
      </c>
    </row>
    <row r="109" spans="3:5" x14ac:dyDescent="0.35">
      <c r="C109" s="18">
        <v>2023</v>
      </c>
      <c r="D109" s="18">
        <v>0.5</v>
      </c>
      <c r="E109" s="18">
        <v>0.47</v>
      </c>
    </row>
    <row r="110" spans="3:5" x14ac:dyDescent="0.35">
      <c r="C110" s="18">
        <v>2024</v>
      </c>
      <c r="D110" s="18">
        <v>0.52</v>
      </c>
      <c r="E110" s="18">
        <v>0.44</v>
      </c>
    </row>
    <row r="111" spans="3:5" x14ac:dyDescent="0.35">
      <c r="C111" s="18">
        <v>2025</v>
      </c>
      <c r="D111" s="18">
        <v>0.74</v>
      </c>
      <c r="E111" s="18">
        <v>0.46</v>
      </c>
    </row>
    <row r="117" spans="3:5" ht="29" x14ac:dyDescent="0.35">
      <c r="C117" s="8" t="s">
        <v>45</v>
      </c>
      <c r="D117" s="8" t="s">
        <v>2</v>
      </c>
      <c r="E117" s="8" t="s">
        <v>3</v>
      </c>
    </row>
    <row r="118" spans="3:5" ht="43.5" x14ac:dyDescent="0.35">
      <c r="C118" s="18" t="s">
        <v>39</v>
      </c>
      <c r="D118" s="18">
        <v>1.21</v>
      </c>
      <c r="E118" s="18">
        <v>0.61</v>
      </c>
    </row>
    <row r="119" spans="3:5" ht="29" x14ac:dyDescent="0.35">
      <c r="C119" s="18" t="s">
        <v>46</v>
      </c>
      <c r="D119" s="18">
        <v>0.94</v>
      </c>
      <c r="E119" s="18">
        <v>0.32</v>
      </c>
    </row>
    <row r="120" spans="3:5" ht="29" x14ac:dyDescent="0.35">
      <c r="C120" s="18" t="s">
        <v>18</v>
      </c>
      <c r="D120" s="18">
        <v>0.02</v>
      </c>
      <c r="E120" s="18">
        <v>0.06</v>
      </c>
    </row>
    <row r="121" spans="3:5" ht="58" x14ac:dyDescent="0.35">
      <c r="C121" s="18" t="s">
        <v>47</v>
      </c>
      <c r="D121" s="18">
        <v>102.63</v>
      </c>
      <c r="E121" s="18">
        <v>91.18</v>
      </c>
    </row>
    <row r="122" spans="3:5" ht="58" x14ac:dyDescent="0.35">
      <c r="C122" s="18" t="s">
        <v>48</v>
      </c>
      <c r="D122" s="18">
        <v>-2.61</v>
      </c>
      <c r="E122" s="18">
        <v>9.59</v>
      </c>
    </row>
    <row r="123" spans="3:5" ht="29" x14ac:dyDescent="0.35">
      <c r="C123" s="18" t="s">
        <v>49</v>
      </c>
      <c r="D123" s="18">
        <v>-3</v>
      </c>
      <c r="E123" s="18">
        <v>5.6</v>
      </c>
    </row>
    <row r="124" spans="3:5" ht="43.5" x14ac:dyDescent="0.35">
      <c r="C124" s="18" t="s">
        <v>50</v>
      </c>
      <c r="D124" s="18">
        <v>0.51</v>
      </c>
      <c r="E124" s="18">
        <v>0.65</v>
      </c>
    </row>
    <row r="125" spans="3:5" ht="72.5" x14ac:dyDescent="0.35">
      <c r="C125" s="18" t="s">
        <v>28</v>
      </c>
      <c r="D125" s="18">
        <v>-0.56000000000000005</v>
      </c>
      <c r="E125" s="18">
        <v>2.97</v>
      </c>
    </row>
    <row r="126" spans="3:5" ht="43.5" x14ac:dyDescent="0.35">
      <c r="C126" s="18" t="s">
        <v>30</v>
      </c>
      <c r="D126" s="18">
        <v>0.5</v>
      </c>
      <c r="E126" s="18">
        <v>0.47</v>
      </c>
    </row>
  </sheetData>
  <mergeCells count="4">
    <mergeCell ref="A3:A15"/>
    <mergeCell ref="B1:H1"/>
    <mergeCell ref="F2:H2"/>
    <mergeCell ref="C2:E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Krishna</dc:creator>
  <cp:lastModifiedBy>Akshay Krishna</cp:lastModifiedBy>
  <dcterms:created xsi:type="dcterms:W3CDTF">2025-09-25T09:40:57Z</dcterms:created>
  <dcterms:modified xsi:type="dcterms:W3CDTF">2025-10-02T13:08:54Z</dcterms:modified>
</cp:coreProperties>
</file>